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pisati\Desktop\"/>
    </mc:Choice>
  </mc:AlternateContent>
  <xr:revisionPtr revIDLastSave="0" documentId="13_ncr:1_{E97F3459-098A-4EFE-97B9-4BA6D656BF67}" xr6:coauthVersionLast="47" xr6:coauthVersionMax="47" xr10:uidLastSave="{00000000-0000-0000-0000-000000000000}"/>
  <bookViews>
    <workbookView xWindow="-23148" yWindow="1980" windowWidth="23256" windowHeight="12456" xr2:uid="{00000000-000D-0000-FFFF-FFFF00000000}"/>
  </bookViews>
  <sheets>
    <sheet name="Risultati" sheetId="1" r:id="rId1"/>
    <sheet name="Classifica" sheetId="2" r:id="rId2"/>
    <sheet name="Dettaglio" sheetId="3" r:id="rId3"/>
    <sheet name="Regole" sheetId="4" r:id="rId4"/>
  </sheets>
  <definedNames>
    <definedName name="ElencoGiocatori">Regole!$A$2:$A$12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L15" i="3"/>
  <c r="K15" i="3"/>
  <c r="J15" i="3"/>
  <c r="I15" i="3"/>
  <c r="H15" i="3"/>
  <c r="G15" i="3"/>
  <c r="F15" i="3"/>
  <c r="E15" i="3"/>
  <c r="D15" i="3"/>
  <c r="C15" i="3"/>
  <c r="B15" i="3"/>
  <c r="M14" i="3"/>
  <c r="L14" i="3"/>
  <c r="K14" i="3"/>
  <c r="J14" i="3"/>
  <c r="I14" i="3"/>
  <c r="H14" i="3"/>
  <c r="G14" i="3"/>
  <c r="F14" i="3"/>
  <c r="E14" i="3"/>
  <c r="D14" i="3"/>
  <c r="C14" i="3"/>
  <c r="B14" i="3"/>
  <c r="M13" i="3"/>
  <c r="L13" i="3"/>
  <c r="K13" i="3"/>
  <c r="J13" i="3"/>
  <c r="I13" i="3"/>
  <c r="H13" i="3"/>
  <c r="G13" i="3"/>
  <c r="F13" i="3"/>
  <c r="E13" i="3"/>
  <c r="D13" i="3"/>
  <c r="C13" i="3"/>
  <c r="B13" i="3"/>
  <c r="M12" i="3"/>
  <c r="L12" i="3"/>
  <c r="K12" i="3"/>
  <c r="J12" i="3"/>
  <c r="I12" i="3"/>
  <c r="H12" i="3"/>
  <c r="G12" i="3"/>
  <c r="F12" i="3"/>
  <c r="E12" i="3"/>
  <c r="D12" i="3"/>
  <c r="C12" i="3"/>
  <c r="B12" i="3"/>
  <c r="M11" i="3"/>
  <c r="L11" i="3"/>
  <c r="K11" i="3"/>
  <c r="J11" i="3"/>
  <c r="I11" i="3"/>
  <c r="H11" i="3"/>
  <c r="G11" i="3"/>
  <c r="F11" i="3"/>
  <c r="E11" i="3"/>
  <c r="D11" i="3"/>
  <c r="C11" i="3"/>
  <c r="B11" i="3"/>
  <c r="M10" i="3"/>
  <c r="L10" i="3"/>
  <c r="K10" i="3"/>
  <c r="J10" i="3"/>
  <c r="I10" i="3"/>
  <c r="H10" i="3"/>
  <c r="G10" i="3"/>
  <c r="F10" i="3"/>
  <c r="E10" i="3"/>
  <c r="D10" i="3"/>
  <c r="C10" i="3"/>
  <c r="B10" i="3"/>
  <c r="M9" i="3"/>
  <c r="L9" i="3"/>
  <c r="K9" i="3"/>
  <c r="J9" i="3"/>
  <c r="I9" i="3"/>
  <c r="H9" i="3"/>
  <c r="G9" i="3"/>
  <c r="F9" i="3"/>
  <c r="E9" i="3"/>
  <c r="D9" i="3"/>
  <c r="C9" i="3"/>
  <c r="B9" i="3"/>
  <c r="M8" i="3"/>
  <c r="L8" i="3"/>
  <c r="K8" i="3"/>
  <c r="J8" i="3"/>
  <c r="I8" i="3"/>
  <c r="H8" i="3"/>
  <c r="G8" i="3"/>
  <c r="F8" i="3"/>
  <c r="E8" i="3"/>
  <c r="D8" i="3"/>
  <c r="C8" i="3"/>
  <c r="B8" i="3"/>
  <c r="M7" i="3"/>
  <c r="L7" i="3"/>
  <c r="K7" i="3"/>
  <c r="J7" i="3"/>
  <c r="I7" i="3"/>
  <c r="H7" i="3"/>
  <c r="G7" i="3"/>
  <c r="F7" i="3"/>
  <c r="E7" i="3"/>
  <c r="D7" i="3"/>
  <c r="C7" i="3"/>
  <c r="B7" i="3"/>
  <c r="M6" i="3"/>
  <c r="L6" i="3"/>
  <c r="K6" i="3"/>
  <c r="J6" i="3"/>
  <c r="I6" i="3"/>
  <c r="H6" i="3"/>
  <c r="G6" i="3"/>
  <c r="F6" i="3"/>
  <c r="E6" i="3"/>
  <c r="D6" i="3"/>
  <c r="C6" i="3"/>
  <c r="B6" i="3"/>
  <c r="M5" i="3"/>
  <c r="L5" i="3"/>
  <c r="K5" i="3"/>
  <c r="J5" i="3"/>
  <c r="I5" i="3"/>
  <c r="H5" i="3"/>
  <c r="G5" i="3"/>
  <c r="F5" i="3"/>
  <c r="E5" i="3"/>
  <c r="D5" i="3"/>
  <c r="C5" i="3"/>
  <c r="B5" i="3"/>
  <c r="M4" i="3"/>
  <c r="L4" i="3"/>
  <c r="K4" i="3"/>
  <c r="J4" i="3"/>
  <c r="I4" i="3"/>
  <c r="H4" i="3"/>
  <c r="G4" i="3"/>
  <c r="F4" i="3"/>
  <c r="E4" i="3"/>
  <c r="D4" i="3"/>
  <c r="C4" i="3"/>
  <c r="B4" i="3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M18" i="1"/>
  <c r="L18" i="1"/>
  <c r="K18" i="1"/>
  <c r="J18" i="1"/>
  <c r="I18" i="1"/>
  <c r="H18" i="1"/>
  <c r="G18" i="1"/>
  <c r="F18" i="1"/>
  <c r="E18" i="1"/>
  <c r="D18" i="1"/>
  <c r="C18" i="1"/>
  <c r="B18" i="1"/>
  <c r="A8" i="2" l="1"/>
  <c r="G7" i="2"/>
  <c r="G14" i="2"/>
  <c r="G11" i="2"/>
  <c r="A5" i="2"/>
  <c r="I6" i="2"/>
  <c r="I10" i="2"/>
  <c r="H11" i="2"/>
  <c r="I12" i="2"/>
  <c r="A7" i="2"/>
  <c r="H9" i="2"/>
  <c r="A13" i="2"/>
  <c r="I8" i="2"/>
  <c r="I15" i="2"/>
  <c r="H6" i="2"/>
  <c r="I13" i="2"/>
  <c r="H5" i="2"/>
  <c r="A15" i="2"/>
  <c r="I14" i="2"/>
  <c r="G8" i="2"/>
  <c r="H8" i="2"/>
  <c r="G15" i="2"/>
  <c r="A9" i="2"/>
  <c r="I9" i="2"/>
  <c r="A10" i="2"/>
  <c r="G10" i="2"/>
  <c r="H10" i="2"/>
  <c r="G5" i="2"/>
  <c r="H7" i="2"/>
  <c r="I11" i="2"/>
  <c r="A12" i="2"/>
  <c r="I5" i="2"/>
  <c r="A6" i="2"/>
  <c r="G13" i="2"/>
  <c r="H13" i="2"/>
  <c r="I7" i="2"/>
  <c r="A14" i="2"/>
  <c r="A11" i="2"/>
  <c r="G12" i="2"/>
  <c r="H15" i="2"/>
  <c r="G9" i="2"/>
  <c r="J9" i="2" s="1"/>
  <c r="H12" i="2"/>
  <c r="G6" i="2"/>
  <c r="H14" i="2"/>
  <c r="J8" i="2" l="1"/>
  <c r="J14" i="2"/>
  <c r="J6" i="2"/>
  <c r="J11" i="2"/>
  <c r="J15" i="2"/>
  <c r="J5" i="2"/>
  <c r="J10" i="2"/>
  <c r="J7" i="2"/>
  <c r="J13" i="2"/>
  <c r="J12" i="2"/>
</calcChain>
</file>

<file path=xl/sharedStrings.xml><?xml version="1.0" encoding="utf-8"?>
<sst xmlns="http://schemas.openxmlformats.org/spreadsheetml/2006/main" count="214" uniqueCount="43">
  <si>
    <t>TORNEO DI BRISCOLA IN CINQUE · 2026–2027</t>
  </si>
  <si>
    <t>Scegli un piazzamento dal menu per ogni presente. Vuoto = assente. Scegli il jolly nella riga dedicata.</t>
  </si>
  <si>
    <t>Giocatore</t>
  </si>
  <si>
    <t>Fanfo</t>
  </si>
  <si>
    <t/>
  </si>
  <si>
    <t>Generale</t>
  </si>
  <si>
    <t>Giopowie</t>
  </si>
  <si>
    <t>Lorenzo</t>
  </si>
  <si>
    <t>Maldo</t>
  </si>
  <si>
    <t>Muso</t>
  </si>
  <si>
    <t>Piero</t>
  </si>
  <si>
    <t>Salado</t>
  </si>
  <si>
    <t>Torre</t>
  </si>
  <si>
    <t>Ube</t>
  </si>
  <si>
    <t>Uccio</t>
  </si>
  <si>
    <t>Jolly (scegli giocatore)</t>
  </si>
  <si>
    <t>Serata valida (5+)</t>
  </si>
  <si>
    <t>CLASSIFICA DEL TORNEO</t>
  </si>
  <si>
    <t>I totali si aggiornano quando apri il file in Excel.</t>
  </si>
  <si>
    <t>Pos.</t>
  </si>
  <si>
    <t>Presenze</t>
  </si>
  <si>
    <t>Vittorie</t>
  </si>
  <si>
    <t>Secondi</t>
  </si>
  <si>
    <t>Terzi</t>
  </si>
  <si>
    <t>Punti lordi</t>
  </si>
  <si>
    <t>Scarto 1</t>
  </si>
  <si>
    <t>Scarto 2</t>
  </si>
  <si>
    <t>Punti netti</t>
  </si>
  <si>
    <t>DETTAGLIO PUNTI PER GIORNATA</t>
  </si>
  <si>
    <t>Assenze = 0 nelle serate valide; le serate con meno di 5 presenti non entrano nei calcoli.</t>
  </si>
  <si>
    <t>GIOCATORI ISCRITTI</t>
  </si>
  <si>
    <t>PIAZZAMENTO</t>
  </si>
  <si>
    <t>PUNTI F1</t>
  </si>
  <si>
    <t>COME COMPILARE</t>
  </si>
  <si>
    <t>1. In Risultati, usa la tendina per assegnare i piazzamenti.</t>
  </si>
  <si>
    <t>2. Lascia vuota la cella del giocatore assente.</t>
  </si>
  <si>
    <t>3. Un piazzamento si usa una sola volta per serata.</t>
  </si>
  <si>
    <t>4. Se usato, scegli il jolly nella riga dedicata.</t>
  </si>
  <si>
    <t>5. Una serata è valida con almeno 5 giocatori.</t>
  </si>
  <si>
    <t>6. La presenza vale 5 punti oltre ai punti F1.</t>
  </si>
  <si>
    <t>7. Il jolly raddoppia solo i punti F1; si usa una volta.</t>
  </si>
  <si>
    <t>8. I due risultati peggiori, assenze valide incluse, si scartano.</t>
  </si>
  <si>
    <t>Per aggiungere giocatori, avvisa l'amministratore del sito.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</si>
</sst>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°&quot;"/>
    <numFmt numFmtId="165" formatCode="d\ mmm\ yyyy"/>
  </numFmts>
  <fonts count="6" x14ac:knownFonts="1">
    <font>
      <sz val="11"/>
      <color rgb="FF24372F"/>
      <name val="Aptos"/>
    </font>
    <font>
      <b/>
      <sz val="18"/>
      <color rgb="FFFFFFFF"/>
      <name val="Aptos Display"/>
    </font>
    <font>
      <i/>
      <sz val="10"/>
      <color rgb="FFE4EDE6"/>
      <name val="Aptos"/>
    </font>
    <font>
      <b/>
      <sz val="10"/>
      <color rgb="FFFFFFFF"/>
      <name val="Aptos"/>
    </font>
    <font>
      <b/>
      <sz val="11"/>
      <color rgb="FF153D32"/>
      <name val="Aptos"/>
    </font>
    <font>
      <i/>
      <sz val="9"/>
      <color rgb="FF65756B"/>
      <name val="Aptos"/>
    </font>
  </fonts>
  <fills count="6">
    <fill>
      <patternFill patternType="none"/>
    </fill>
    <fill>
      <patternFill patternType="gray125"/>
    </fill>
    <fill>
      <patternFill patternType="solid">
        <fgColor rgb="FF153D32"/>
        <bgColor indexed="64"/>
      </patternFill>
    </fill>
    <fill>
      <patternFill patternType="solid">
        <fgColor rgb="FF315C4D"/>
        <bgColor indexed="64"/>
      </patternFill>
    </fill>
    <fill>
      <patternFill patternType="solid">
        <fgColor rgb="FFD7A74F"/>
        <bgColor indexed="64"/>
      </patternFill>
    </fill>
    <fill>
      <patternFill patternType="solid">
        <fgColor rgb="FFE5EEE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DE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CE4E4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C22" sqref="C22"/>
    </sheetView>
  </sheetViews>
  <sheetFormatPr defaultRowHeight="14.25" x14ac:dyDescent="0.45"/>
  <cols>
    <col min="1" max="1" width="27" customWidth="1"/>
    <col min="2" max="13" width="15" customWidth="1"/>
  </cols>
  <sheetData>
    <row r="1" spans="1:13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45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x14ac:dyDescent="0.45">
      <c r="A4" s="1" t="s">
        <v>2</v>
      </c>
      <c r="B4" s="2">
        <v>46324</v>
      </c>
      <c r="C4" s="2">
        <v>46338</v>
      </c>
      <c r="D4" s="2">
        <v>46352</v>
      </c>
      <c r="E4" s="2">
        <v>46366</v>
      </c>
      <c r="F4" s="2">
        <v>46394</v>
      </c>
      <c r="G4" s="2">
        <v>46408</v>
      </c>
      <c r="H4" s="2">
        <v>46422</v>
      </c>
      <c r="I4" s="2">
        <v>46436</v>
      </c>
      <c r="J4" s="2">
        <v>46450</v>
      </c>
      <c r="K4" s="2">
        <v>46464</v>
      </c>
      <c r="L4" s="2">
        <v>46478</v>
      </c>
      <c r="M4" s="2">
        <v>46492</v>
      </c>
    </row>
    <row r="5" spans="1:13" x14ac:dyDescent="0.45">
      <c r="A5" s="3" t="s">
        <v>3</v>
      </c>
      <c r="B5" s="4">
        <v>5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</row>
    <row r="6" spans="1:13" x14ac:dyDescent="0.45">
      <c r="A6" s="3" t="s">
        <v>5</v>
      </c>
      <c r="B6" s="4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</row>
    <row r="7" spans="1:13" x14ac:dyDescent="0.45">
      <c r="A7" s="3" t="s">
        <v>6</v>
      </c>
      <c r="B7" s="4">
        <v>1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</row>
    <row r="8" spans="1:13" x14ac:dyDescent="0.45">
      <c r="A8" s="3" t="s">
        <v>7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  <c r="L8" s="4" t="s">
        <v>4</v>
      </c>
      <c r="M8" s="4" t="s">
        <v>4</v>
      </c>
    </row>
    <row r="9" spans="1:13" x14ac:dyDescent="0.45">
      <c r="A9" s="3" t="s">
        <v>8</v>
      </c>
      <c r="B9" s="4">
        <v>6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  <c r="L9" s="4" t="s">
        <v>4</v>
      </c>
      <c r="M9" s="4" t="s">
        <v>4</v>
      </c>
    </row>
    <row r="10" spans="1:13" x14ac:dyDescent="0.45">
      <c r="A10" s="3" t="s">
        <v>9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  <c r="L10" s="4" t="s">
        <v>4</v>
      </c>
      <c r="M10" s="4" t="s">
        <v>4</v>
      </c>
    </row>
    <row r="11" spans="1:13" x14ac:dyDescent="0.45">
      <c r="A11" s="3" t="s">
        <v>10</v>
      </c>
      <c r="B11" s="4">
        <v>2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  <c r="L11" s="4" t="s">
        <v>4</v>
      </c>
      <c r="M11" s="4" t="s">
        <v>4</v>
      </c>
    </row>
    <row r="12" spans="1:13" x14ac:dyDescent="0.45">
      <c r="A12" s="3" t="s">
        <v>11</v>
      </c>
      <c r="B12" s="4">
        <v>7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  <c r="L12" s="4" t="s">
        <v>4</v>
      </c>
      <c r="M12" s="4" t="s">
        <v>4</v>
      </c>
    </row>
    <row r="13" spans="1:13" x14ac:dyDescent="0.45">
      <c r="A13" s="3" t="s">
        <v>12</v>
      </c>
      <c r="B13" s="4">
        <v>3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  <c r="L13" s="4" t="s">
        <v>4</v>
      </c>
      <c r="M13" s="4" t="s">
        <v>4</v>
      </c>
    </row>
    <row r="14" spans="1:13" x14ac:dyDescent="0.45">
      <c r="A14" s="3" t="s">
        <v>13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  <c r="L14" s="4" t="s">
        <v>4</v>
      </c>
      <c r="M14" s="4" t="s">
        <v>4</v>
      </c>
    </row>
    <row r="15" spans="1:13" x14ac:dyDescent="0.45">
      <c r="A15" s="3" t="s">
        <v>14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  <c r="L15" s="4" t="s">
        <v>4</v>
      </c>
      <c r="M15" s="4" t="s">
        <v>4</v>
      </c>
    </row>
    <row r="17" spans="1:13" x14ac:dyDescent="0.45">
      <c r="A17" s="5" t="s">
        <v>15</v>
      </c>
      <c r="B17" s="6" t="s">
        <v>4</v>
      </c>
      <c r="C17" s="6" t="s">
        <v>4</v>
      </c>
      <c r="D17" s="6" t="s">
        <v>4</v>
      </c>
      <c r="E17" s="6" t="s">
        <v>4</v>
      </c>
      <c r="F17" s="6" t="s">
        <v>4</v>
      </c>
      <c r="G17" s="6" t="s">
        <v>4</v>
      </c>
      <c r="H17" s="6" t="s">
        <v>4</v>
      </c>
      <c r="I17" s="6" t="s">
        <v>4</v>
      </c>
      <c r="J17" s="6" t="s">
        <v>4</v>
      </c>
      <c r="K17" s="6" t="s">
        <v>4</v>
      </c>
      <c r="L17" s="6" t="s">
        <v>4</v>
      </c>
      <c r="M17" s="6" t="s">
        <v>4</v>
      </c>
    </row>
    <row r="18" spans="1:13" x14ac:dyDescent="0.45">
      <c r="A18" s="3" t="s">
        <v>16</v>
      </c>
      <c r="B18" s="7" t="str">
        <f t="shared" ref="B18:M18" si="0">IF(COUNT(B$5:B$15)&gt;=5,"VALIDA","MINIMO 5")</f>
        <v>VALIDA</v>
      </c>
      <c r="C18" s="7" t="str">
        <f t="shared" si="0"/>
        <v>MINIMO 5</v>
      </c>
      <c r="D18" s="7" t="str">
        <f t="shared" si="0"/>
        <v>MINIMO 5</v>
      </c>
      <c r="E18" s="7" t="str">
        <f t="shared" si="0"/>
        <v>MINIMO 5</v>
      </c>
      <c r="F18" s="7" t="str">
        <f t="shared" si="0"/>
        <v>MINIMO 5</v>
      </c>
      <c r="G18" s="7" t="str">
        <f t="shared" si="0"/>
        <v>MINIMO 5</v>
      </c>
      <c r="H18" s="7" t="str">
        <f t="shared" si="0"/>
        <v>MINIMO 5</v>
      </c>
      <c r="I18" s="7" t="str">
        <f t="shared" si="0"/>
        <v>MINIMO 5</v>
      </c>
      <c r="J18" s="7" t="str">
        <f t="shared" si="0"/>
        <v>MINIMO 5</v>
      </c>
      <c r="K18" s="7" t="str">
        <f t="shared" si="0"/>
        <v>MINIMO 5</v>
      </c>
      <c r="L18" s="7" t="str">
        <f t="shared" si="0"/>
        <v>MINIMO 5</v>
      </c>
      <c r="M18" s="7" t="str">
        <f t="shared" si="0"/>
        <v>MINIMO 5</v>
      </c>
    </row>
  </sheetData>
  <autoFilter ref="A4:M15" xr:uid="{00000000-0009-0000-0000-000000000000}"/>
  <mergeCells count="2">
    <mergeCell ref="A1:M1"/>
    <mergeCell ref="A2:M2"/>
  </mergeCells>
  <conditionalFormatting sqref="B5:M15">
    <cfRule type="expression" dxfId="0" priority="1">
      <formula>AND(B5&lt;&gt;"",COUNTIF(B$5:B$15,B5)&gt;1)</formula>
    </cfRule>
  </conditionalFormatting>
  <dataValidations count="2">
    <dataValidation type="list" allowBlank="1" showErrorMessage="1" errorTitle="Piazzamento non valido" error="Scegli un piazzamento dal menu da 1 a 11." promptTitle="Piazzamento" prompt="Seleziona il piazzamento del giocatore." sqref="B5:M15" xr:uid="{00000000-0002-0000-0000-000000000000}">
      <formula1>"1,2,3,4,5,6,7,8,9,10,11"</formula1>
    </dataValidation>
    <dataValidation type="list" allowBlank="1" showErrorMessage="1" errorTitle="Giocatore non valido" error="Scegli un giocatore iscritto dal menu." sqref="B17:M17" xr:uid="{00000000-0002-0000-0000-000001000000}">
      <formula1>ElencoGiocatori</formula1>
    </dataValidation>
  </dataValidation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showGridLines="0" workbookViewId="0"/>
  </sheetViews>
  <sheetFormatPr defaultRowHeight="14.25" x14ac:dyDescent="0.45"/>
  <cols>
    <col min="1" max="1" width="8" customWidth="1"/>
    <col min="2" max="2" width="24" customWidth="1"/>
    <col min="3" max="3" width="12" customWidth="1"/>
    <col min="4" max="5" width="11" customWidth="1"/>
    <col min="6" max="6" width="10" customWidth="1"/>
    <col min="7" max="7" width="15" customWidth="1"/>
    <col min="8" max="9" width="11" customWidth="1"/>
    <col min="10" max="10" width="14" customWidth="1"/>
  </cols>
  <sheetData>
    <row r="1" spans="1:10" x14ac:dyDescent="0.45">
      <c r="A1" s="11" t="s">
        <v>17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45">
      <c r="A2" s="13" t="s">
        <v>18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x14ac:dyDescent="0.45">
      <c r="A4" s="1" t="s">
        <v>19</v>
      </c>
      <c r="B4" s="1" t="s">
        <v>2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 spans="1:10" x14ac:dyDescent="0.45">
      <c r="A5" s="8" t="e">
        <f ca="1">IF(COUNT(Dettaglio!B5:M5)=0,"—",_xludf.RANK.EQ(J5,$J$5:$J$15,0))</f>
        <v>#NAME?</v>
      </c>
      <c r="B5" s="3" t="s">
        <v>3</v>
      </c>
      <c r="C5" s="8">
        <f>SUM(IF(COUNT(Risultati!B$5:B$15)&gt;=5,IF(ISNUMBER(Risultati!B5),1,0),0),IF(COUNT(Risultati!C$5:C$15)&gt;=5,IF(ISNUMBER(Risultati!C5),1,0),0),IF(COUNT(Risultati!D$5:D$15)&gt;=5,IF(ISNUMBER(Risultati!D5),1,0),0),IF(COUNT(Risultati!E$5:E$15)&gt;=5,IF(ISNUMBER(Risultati!E5),1,0),0),IF(COUNT(Risultati!F$5:F$15)&gt;=5,IF(ISNUMBER(Risultati!F5),1,0),0),IF(COUNT(Risultati!G$5:G$15)&gt;=5,IF(ISNUMBER(Risultati!G5),1,0),0),IF(COUNT(Risultati!H$5:H$15)&gt;=5,IF(ISNUMBER(Risultati!H5),1,0),0),IF(COUNT(Risultati!I$5:I$15)&gt;=5,IF(ISNUMBER(Risultati!I5),1,0),0),IF(COUNT(Risultati!J$5:J$15)&gt;=5,IF(ISNUMBER(Risultati!J5),1,0),0),IF(COUNT(Risultati!K$5:K$15)&gt;=5,IF(ISNUMBER(Risultati!K5),1,0),0),IF(COUNT(Risultati!L$5:L$15)&gt;=5,IF(ISNUMBER(Risultati!L5),1,0),0),IF(COUNT(Risultati!M$5:M$15)&gt;=5,IF(ISNUMBER(Risultati!M5),1,0),0))</f>
        <v>1</v>
      </c>
      <c r="D5" s="8">
        <f>SUM(IF(COUNT(Risultati!B$5:B$15)&gt;=5,IF(Risultati!B5=1,1,0),0),IF(COUNT(Risultati!C$5:C$15)&gt;=5,IF(Risultati!C5=1,1,0),0),IF(COUNT(Risultati!D$5:D$15)&gt;=5,IF(Risultati!D5=1,1,0),0),IF(COUNT(Risultati!E$5:E$15)&gt;=5,IF(Risultati!E5=1,1,0),0),IF(COUNT(Risultati!F$5:F$15)&gt;=5,IF(Risultati!F5=1,1,0),0),IF(COUNT(Risultati!G$5:G$15)&gt;=5,IF(Risultati!G5=1,1,0),0),IF(COUNT(Risultati!H$5:H$15)&gt;=5,IF(Risultati!H5=1,1,0),0),IF(COUNT(Risultati!I$5:I$15)&gt;=5,IF(Risultati!I5=1,1,0),0),IF(COUNT(Risultati!J$5:J$15)&gt;=5,IF(Risultati!J5=1,1,0),0),IF(COUNT(Risultati!K$5:K$15)&gt;=5,IF(Risultati!K5=1,1,0),0),IF(COUNT(Risultati!L$5:L$15)&gt;=5,IF(Risultati!L5=1,1,0),0),IF(COUNT(Risultati!M$5:M$15)&gt;=5,IF(Risultati!M5=1,1,0),0))</f>
        <v>0</v>
      </c>
      <c r="E5" s="8">
        <f>SUM(IF(COUNT(Risultati!B$5:B$15)&gt;=5,IF(Risultati!B5=2,1,0),0),IF(COUNT(Risultati!C$5:C$15)&gt;=5,IF(Risultati!C5=2,1,0),0),IF(COUNT(Risultati!D$5:D$15)&gt;=5,IF(Risultati!D5=2,1,0),0),IF(COUNT(Risultati!E$5:E$15)&gt;=5,IF(Risultati!E5=2,1,0),0),IF(COUNT(Risultati!F$5:F$15)&gt;=5,IF(Risultati!F5=2,1,0),0),IF(COUNT(Risultati!G$5:G$15)&gt;=5,IF(Risultati!G5=2,1,0),0),IF(COUNT(Risultati!H$5:H$15)&gt;=5,IF(Risultati!H5=2,1,0),0),IF(COUNT(Risultati!I$5:I$15)&gt;=5,IF(Risultati!I5=2,1,0),0),IF(COUNT(Risultati!J$5:J$15)&gt;=5,IF(Risultati!J5=2,1,0),0),IF(COUNT(Risultati!K$5:K$15)&gt;=5,IF(Risultati!K5=2,1,0),0),IF(COUNT(Risultati!L$5:L$15)&gt;=5,IF(Risultati!L5=2,1,0),0),IF(COUNT(Risultati!M$5:M$15)&gt;=5,IF(Risultati!M5=2,1,0),0))</f>
        <v>0</v>
      </c>
      <c r="F5" s="8">
        <f>SUM(IF(COUNT(Risultati!B$5:B$15)&gt;=5,IF(Risultati!B5=3,1,0),0),IF(COUNT(Risultati!C$5:C$15)&gt;=5,IF(Risultati!C5=3,1,0),0),IF(COUNT(Risultati!D$5:D$15)&gt;=5,IF(Risultati!D5=3,1,0),0),IF(COUNT(Risultati!E$5:E$15)&gt;=5,IF(Risultati!E5=3,1,0),0),IF(COUNT(Risultati!F$5:F$15)&gt;=5,IF(Risultati!F5=3,1,0),0),IF(COUNT(Risultati!G$5:G$15)&gt;=5,IF(Risultati!G5=3,1,0),0),IF(COUNT(Risultati!H$5:H$15)&gt;=5,IF(Risultati!H5=3,1,0),0),IF(COUNT(Risultati!I$5:I$15)&gt;=5,IF(Risultati!I5=3,1,0),0),IF(COUNT(Risultati!J$5:J$15)&gt;=5,IF(Risultati!J5=3,1,0),0),IF(COUNT(Risultati!K$5:K$15)&gt;=5,IF(Risultati!K5=3,1,0),0),IF(COUNT(Risultati!L$5:L$15)&gt;=5,IF(Risultati!L5=3,1,0),0),IF(COUNT(Risultati!M$5:M$15)&gt;=5,IF(Risultati!M5=3,1,0),0))</f>
        <v>0</v>
      </c>
      <c r="G5" s="8">
        <f>SUM(Dettaglio!B5:M5)</f>
        <v>15</v>
      </c>
      <c r="H5" s="8">
        <f>IF(COUNT(Dettaglio!B5:M5)=0,"—",SMALL(Dettaglio!B5:M5,1))</f>
        <v>15</v>
      </c>
      <c r="I5" s="8" t="str">
        <f>IF(COUNT(Dettaglio!B5:M5)&lt;2,"—",SMALL(Dettaglio!B5:M5,2))</f>
        <v>—</v>
      </c>
      <c r="J5" s="9">
        <f t="shared" ref="J5:J15" si="0">G5-IF(ISNUMBER(H5),H5,0)-IF(ISNUMBER(I5),I5,0)</f>
        <v>0</v>
      </c>
    </row>
    <row r="6" spans="1:10" x14ac:dyDescent="0.45">
      <c r="A6" s="8" t="e">
        <f ca="1">IF(COUNT(Dettaglio!B6:M6)=0,"—",_xludf.RANK.EQ(J6,$J$5:$J$15,0))</f>
        <v>#NAME?</v>
      </c>
      <c r="B6" s="3" t="s">
        <v>5</v>
      </c>
      <c r="C6" s="8">
        <f>SUM(IF(COUNT(Risultati!B$5:B$15)&gt;=5,IF(ISNUMBER(Risultati!B6),1,0),0),IF(COUNT(Risultati!C$5:C$15)&gt;=5,IF(ISNUMBER(Risultati!C6),1,0),0),IF(COUNT(Risultati!D$5:D$15)&gt;=5,IF(ISNUMBER(Risultati!D6),1,0),0),IF(COUNT(Risultati!E$5:E$15)&gt;=5,IF(ISNUMBER(Risultati!E6),1,0),0),IF(COUNT(Risultati!F$5:F$15)&gt;=5,IF(ISNUMBER(Risultati!F6),1,0),0),IF(COUNT(Risultati!G$5:G$15)&gt;=5,IF(ISNUMBER(Risultati!G6),1,0),0),IF(COUNT(Risultati!H$5:H$15)&gt;=5,IF(ISNUMBER(Risultati!H6),1,0),0),IF(COUNT(Risultati!I$5:I$15)&gt;=5,IF(ISNUMBER(Risultati!I6),1,0),0),IF(COUNT(Risultati!J$5:J$15)&gt;=5,IF(ISNUMBER(Risultati!J6),1,0),0),IF(COUNT(Risultati!K$5:K$15)&gt;=5,IF(ISNUMBER(Risultati!K6),1,0),0),IF(COUNT(Risultati!L$5:L$15)&gt;=5,IF(ISNUMBER(Risultati!L6),1,0),0),IF(COUNT(Risultati!M$5:M$15)&gt;=5,IF(ISNUMBER(Risultati!M6),1,0),0))</f>
        <v>1</v>
      </c>
      <c r="D6" s="8">
        <f>SUM(IF(COUNT(Risultati!B$5:B$15)&gt;=5,IF(Risultati!B6=1,1,0),0),IF(COUNT(Risultati!C$5:C$15)&gt;=5,IF(Risultati!C6=1,1,0),0),IF(COUNT(Risultati!D$5:D$15)&gt;=5,IF(Risultati!D6=1,1,0),0),IF(COUNT(Risultati!E$5:E$15)&gt;=5,IF(Risultati!E6=1,1,0),0),IF(COUNT(Risultati!F$5:F$15)&gt;=5,IF(Risultati!F6=1,1,0),0),IF(COUNT(Risultati!G$5:G$15)&gt;=5,IF(Risultati!G6=1,1,0),0),IF(COUNT(Risultati!H$5:H$15)&gt;=5,IF(Risultati!H6=1,1,0),0),IF(COUNT(Risultati!I$5:I$15)&gt;=5,IF(Risultati!I6=1,1,0),0),IF(COUNT(Risultati!J$5:J$15)&gt;=5,IF(Risultati!J6=1,1,0),0),IF(COUNT(Risultati!K$5:K$15)&gt;=5,IF(Risultati!K6=1,1,0),0),IF(COUNT(Risultati!L$5:L$15)&gt;=5,IF(Risultati!L6=1,1,0),0),IF(COUNT(Risultati!M$5:M$15)&gt;=5,IF(Risultati!M6=1,1,0),0))</f>
        <v>0</v>
      </c>
      <c r="E6" s="8">
        <f>SUM(IF(COUNT(Risultati!B$5:B$15)&gt;=5,IF(Risultati!B6=2,1,0),0),IF(COUNT(Risultati!C$5:C$15)&gt;=5,IF(Risultati!C6=2,1,0),0),IF(COUNT(Risultati!D$5:D$15)&gt;=5,IF(Risultati!D6=2,1,0),0),IF(COUNT(Risultati!E$5:E$15)&gt;=5,IF(Risultati!E6=2,1,0),0),IF(COUNT(Risultati!F$5:F$15)&gt;=5,IF(Risultati!F6=2,1,0),0),IF(COUNT(Risultati!G$5:G$15)&gt;=5,IF(Risultati!G6=2,1,0),0),IF(COUNT(Risultati!H$5:H$15)&gt;=5,IF(Risultati!H6=2,1,0),0),IF(COUNT(Risultati!I$5:I$15)&gt;=5,IF(Risultati!I6=2,1,0),0),IF(COUNT(Risultati!J$5:J$15)&gt;=5,IF(Risultati!J6=2,1,0),0),IF(COUNT(Risultati!K$5:K$15)&gt;=5,IF(Risultati!K6=2,1,0),0),IF(COUNT(Risultati!L$5:L$15)&gt;=5,IF(Risultati!L6=2,1,0),0),IF(COUNT(Risultati!M$5:M$15)&gt;=5,IF(Risultati!M6=2,1,0),0))</f>
        <v>0</v>
      </c>
      <c r="F6" s="8">
        <f>SUM(IF(COUNT(Risultati!B$5:B$15)&gt;=5,IF(Risultati!B6=3,1,0),0),IF(COUNT(Risultati!C$5:C$15)&gt;=5,IF(Risultati!C6=3,1,0),0),IF(COUNT(Risultati!D$5:D$15)&gt;=5,IF(Risultati!D6=3,1,0),0),IF(COUNT(Risultati!E$5:E$15)&gt;=5,IF(Risultati!E6=3,1,0),0),IF(COUNT(Risultati!F$5:F$15)&gt;=5,IF(Risultati!F6=3,1,0),0),IF(COUNT(Risultati!G$5:G$15)&gt;=5,IF(Risultati!G6=3,1,0),0),IF(COUNT(Risultati!H$5:H$15)&gt;=5,IF(Risultati!H6=3,1,0),0),IF(COUNT(Risultati!I$5:I$15)&gt;=5,IF(Risultati!I6=3,1,0),0),IF(COUNT(Risultati!J$5:J$15)&gt;=5,IF(Risultati!J6=3,1,0),0),IF(COUNT(Risultati!K$5:K$15)&gt;=5,IF(Risultati!K6=3,1,0),0),IF(COUNT(Risultati!L$5:L$15)&gt;=5,IF(Risultati!L6=3,1,0),0),IF(COUNT(Risultati!M$5:M$15)&gt;=5,IF(Risultati!M6=3,1,0),0))</f>
        <v>0</v>
      </c>
      <c r="G6" s="8">
        <f>SUM(Dettaglio!B6:M6)</f>
        <v>17</v>
      </c>
      <c r="H6" s="8">
        <f>IF(COUNT(Dettaglio!B6:M6)=0,"—",SMALL(Dettaglio!B6:M6,1))</f>
        <v>17</v>
      </c>
      <c r="I6" s="8" t="str">
        <f>IF(COUNT(Dettaglio!B6:M6)&lt;2,"—",SMALL(Dettaglio!B6:M6,2))</f>
        <v>—</v>
      </c>
      <c r="J6" s="9">
        <f t="shared" si="0"/>
        <v>0</v>
      </c>
    </row>
    <row r="7" spans="1:10" x14ac:dyDescent="0.45">
      <c r="A7" s="8" t="e">
        <f ca="1">IF(COUNT(Dettaglio!B7:M7)=0,"—",_xludf.RANK.EQ(J7,$J$5:$J$15,0))</f>
        <v>#NAME?</v>
      </c>
      <c r="B7" s="3" t="s">
        <v>6</v>
      </c>
      <c r="C7" s="8">
        <f>SUM(IF(COUNT(Risultati!B$5:B$15)&gt;=5,IF(ISNUMBER(Risultati!B7),1,0),0),IF(COUNT(Risultati!C$5:C$15)&gt;=5,IF(ISNUMBER(Risultati!C7),1,0),0),IF(COUNT(Risultati!D$5:D$15)&gt;=5,IF(ISNUMBER(Risultati!D7),1,0),0),IF(COUNT(Risultati!E$5:E$15)&gt;=5,IF(ISNUMBER(Risultati!E7),1,0),0),IF(COUNT(Risultati!F$5:F$15)&gt;=5,IF(ISNUMBER(Risultati!F7),1,0),0),IF(COUNT(Risultati!G$5:G$15)&gt;=5,IF(ISNUMBER(Risultati!G7),1,0),0),IF(COUNT(Risultati!H$5:H$15)&gt;=5,IF(ISNUMBER(Risultati!H7),1,0),0),IF(COUNT(Risultati!I$5:I$15)&gt;=5,IF(ISNUMBER(Risultati!I7),1,0),0),IF(COUNT(Risultati!J$5:J$15)&gt;=5,IF(ISNUMBER(Risultati!J7),1,0),0),IF(COUNT(Risultati!K$5:K$15)&gt;=5,IF(ISNUMBER(Risultati!K7),1,0),0),IF(COUNT(Risultati!L$5:L$15)&gt;=5,IF(ISNUMBER(Risultati!L7),1,0),0),IF(COUNT(Risultati!M$5:M$15)&gt;=5,IF(ISNUMBER(Risultati!M7),1,0),0))</f>
        <v>1</v>
      </c>
      <c r="D7" s="8">
        <f>SUM(IF(COUNT(Risultati!B$5:B$15)&gt;=5,IF(Risultati!B7=1,1,0),0),IF(COUNT(Risultati!C$5:C$15)&gt;=5,IF(Risultati!C7=1,1,0),0),IF(COUNT(Risultati!D$5:D$15)&gt;=5,IF(Risultati!D7=1,1,0),0),IF(COUNT(Risultati!E$5:E$15)&gt;=5,IF(Risultati!E7=1,1,0),0),IF(COUNT(Risultati!F$5:F$15)&gt;=5,IF(Risultati!F7=1,1,0),0),IF(COUNT(Risultati!G$5:G$15)&gt;=5,IF(Risultati!G7=1,1,0),0),IF(COUNT(Risultati!H$5:H$15)&gt;=5,IF(Risultati!H7=1,1,0),0),IF(COUNT(Risultati!I$5:I$15)&gt;=5,IF(Risultati!I7=1,1,0),0),IF(COUNT(Risultati!J$5:J$15)&gt;=5,IF(Risultati!J7=1,1,0),0),IF(COUNT(Risultati!K$5:K$15)&gt;=5,IF(Risultati!K7=1,1,0),0),IF(COUNT(Risultati!L$5:L$15)&gt;=5,IF(Risultati!L7=1,1,0),0),IF(COUNT(Risultati!M$5:M$15)&gt;=5,IF(Risultati!M7=1,1,0),0))</f>
        <v>1</v>
      </c>
      <c r="E7" s="8">
        <f>SUM(IF(COUNT(Risultati!B$5:B$15)&gt;=5,IF(Risultati!B7=2,1,0),0),IF(COUNT(Risultati!C$5:C$15)&gt;=5,IF(Risultati!C7=2,1,0),0),IF(COUNT(Risultati!D$5:D$15)&gt;=5,IF(Risultati!D7=2,1,0),0),IF(COUNT(Risultati!E$5:E$15)&gt;=5,IF(Risultati!E7=2,1,0),0),IF(COUNT(Risultati!F$5:F$15)&gt;=5,IF(Risultati!F7=2,1,0),0),IF(COUNT(Risultati!G$5:G$15)&gt;=5,IF(Risultati!G7=2,1,0),0),IF(COUNT(Risultati!H$5:H$15)&gt;=5,IF(Risultati!H7=2,1,0),0),IF(COUNT(Risultati!I$5:I$15)&gt;=5,IF(Risultati!I7=2,1,0),0),IF(COUNT(Risultati!J$5:J$15)&gt;=5,IF(Risultati!J7=2,1,0),0),IF(COUNT(Risultati!K$5:K$15)&gt;=5,IF(Risultati!K7=2,1,0),0),IF(COUNT(Risultati!L$5:L$15)&gt;=5,IF(Risultati!L7=2,1,0),0),IF(COUNT(Risultati!M$5:M$15)&gt;=5,IF(Risultati!M7=2,1,0),0))</f>
        <v>0</v>
      </c>
      <c r="F7" s="8">
        <f>SUM(IF(COUNT(Risultati!B$5:B$15)&gt;=5,IF(Risultati!B7=3,1,0),0),IF(COUNT(Risultati!C$5:C$15)&gt;=5,IF(Risultati!C7=3,1,0),0),IF(COUNT(Risultati!D$5:D$15)&gt;=5,IF(Risultati!D7=3,1,0),0),IF(COUNT(Risultati!E$5:E$15)&gt;=5,IF(Risultati!E7=3,1,0),0),IF(COUNT(Risultati!F$5:F$15)&gt;=5,IF(Risultati!F7=3,1,0),0),IF(COUNT(Risultati!G$5:G$15)&gt;=5,IF(Risultati!G7=3,1,0),0),IF(COUNT(Risultati!H$5:H$15)&gt;=5,IF(Risultati!H7=3,1,0),0),IF(COUNT(Risultati!I$5:I$15)&gt;=5,IF(Risultati!I7=3,1,0),0),IF(COUNT(Risultati!J$5:J$15)&gt;=5,IF(Risultati!J7=3,1,0),0),IF(COUNT(Risultati!K$5:K$15)&gt;=5,IF(Risultati!K7=3,1,0),0),IF(COUNT(Risultati!L$5:L$15)&gt;=5,IF(Risultati!L7=3,1,0),0),IF(COUNT(Risultati!M$5:M$15)&gt;=5,IF(Risultati!M7=3,1,0),0))</f>
        <v>0</v>
      </c>
      <c r="G7" s="8">
        <f>SUM(Dettaglio!B7:M7)</f>
        <v>30</v>
      </c>
      <c r="H7" s="8">
        <f>IF(COUNT(Dettaglio!B7:M7)=0,"—",SMALL(Dettaglio!B7:M7,1))</f>
        <v>30</v>
      </c>
      <c r="I7" s="8" t="str">
        <f>IF(COUNT(Dettaglio!B7:M7)&lt;2,"—",SMALL(Dettaglio!B7:M7,2))</f>
        <v>—</v>
      </c>
      <c r="J7" s="9">
        <f t="shared" si="0"/>
        <v>0</v>
      </c>
    </row>
    <row r="8" spans="1:10" x14ac:dyDescent="0.45">
      <c r="A8" s="8" t="e">
        <f ca="1">IF(COUNT(Dettaglio!B8:M8)=0,"—",_xludf.RANK.EQ(J8,$J$5:$J$15,0))</f>
        <v>#NAME?</v>
      </c>
      <c r="B8" s="3" t="s">
        <v>7</v>
      </c>
      <c r="C8" s="8">
        <f>SUM(IF(COUNT(Risultati!B$5:B$15)&gt;=5,IF(ISNUMBER(Risultati!B8),1,0),0),IF(COUNT(Risultati!C$5:C$15)&gt;=5,IF(ISNUMBER(Risultati!C8),1,0),0),IF(COUNT(Risultati!D$5:D$15)&gt;=5,IF(ISNUMBER(Risultati!D8),1,0),0),IF(COUNT(Risultati!E$5:E$15)&gt;=5,IF(ISNUMBER(Risultati!E8),1,0),0),IF(COUNT(Risultati!F$5:F$15)&gt;=5,IF(ISNUMBER(Risultati!F8),1,0),0),IF(COUNT(Risultati!G$5:G$15)&gt;=5,IF(ISNUMBER(Risultati!G8),1,0),0),IF(COUNT(Risultati!H$5:H$15)&gt;=5,IF(ISNUMBER(Risultati!H8),1,0),0),IF(COUNT(Risultati!I$5:I$15)&gt;=5,IF(ISNUMBER(Risultati!I8),1,0),0),IF(COUNT(Risultati!J$5:J$15)&gt;=5,IF(ISNUMBER(Risultati!J8),1,0),0),IF(COUNT(Risultati!K$5:K$15)&gt;=5,IF(ISNUMBER(Risultati!K8),1,0),0),IF(COUNT(Risultati!L$5:L$15)&gt;=5,IF(ISNUMBER(Risultati!L8),1,0),0),IF(COUNT(Risultati!M$5:M$15)&gt;=5,IF(ISNUMBER(Risultati!M8),1,0),0))</f>
        <v>0</v>
      </c>
      <c r="D8" s="8">
        <f>SUM(IF(COUNT(Risultati!B$5:B$15)&gt;=5,IF(Risultati!B8=1,1,0),0),IF(COUNT(Risultati!C$5:C$15)&gt;=5,IF(Risultati!C8=1,1,0),0),IF(COUNT(Risultati!D$5:D$15)&gt;=5,IF(Risultati!D8=1,1,0),0),IF(COUNT(Risultati!E$5:E$15)&gt;=5,IF(Risultati!E8=1,1,0),0),IF(COUNT(Risultati!F$5:F$15)&gt;=5,IF(Risultati!F8=1,1,0),0),IF(COUNT(Risultati!G$5:G$15)&gt;=5,IF(Risultati!G8=1,1,0),0),IF(COUNT(Risultati!H$5:H$15)&gt;=5,IF(Risultati!H8=1,1,0),0),IF(COUNT(Risultati!I$5:I$15)&gt;=5,IF(Risultati!I8=1,1,0),0),IF(COUNT(Risultati!J$5:J$15)&gt;=5,IF(Risultati!J8=1,1,0),0),IF(COUNT(Risultati!K$5:K$15)&gt;=5,IF(Risultati!K8=1,1,0),0),IF(COUNT(Risultati!L$5:L$15)&gt;=5,IF(Risultati!L8=1,1,0),0),IF(COUNT(Risultati!M$5:M$15)&gt;=5,IF(Risultati!M8=1,1,0),0))</f>
        <v>0</v>
      </c>
      <c r="E8" s="8">
        <f>SUM(IF(COUNT(Risultati!B$5:B$15)&gt;=5,IF(Risultati!B8=2,1,0),0),IF(COUNT(Risultati!C$5:C$15)&gt;=5,IF(Risultati!C8=2,1,0),0),IF(COUNT(Risultati!D$5:D$15)&gt;=5,IF(Risultati!D8=2,1,0),0),IF(COUNT(Risultati!E$5:E$15)&gt;=5,IF(Risultati!E8=2,1,0),0),IF(COUNT(Risultati!F$5:F$15)&gt;=5,IF(Risultati!F8=2,1,0),0),IF(COUNT(Risultati!G$5:G$15)&gt;=5,IF(Risultati!G8=2,1,0),0),IF(COUNT(Risultati!H$5:H$15)&gt;=5,IF(Risultati!H8=2,1,0),0),IF(COUNT(Risultati!I$5:I$15)&gt;=5,IF(Risultati!I8=2,1,0),0),IF(COUNT(Risultati!J$5:J$15)&gt;=5,IF(Risultati!J8=2,1,0),0),IF(COUNT(Risultati!K$5:K$15)&gt;=5,IF(Risultati!K8=2,1,0),0),IF(COUNT(Risultati!L$5:L$15)&gt;=5,IF(Risultati!L8=2,1,0),0),IF(COUNT(Risultati!M$5:M$15)&gt;=5,IF(Risultati!M8=2,1,0),0))</f>
        <v>0</v>
      </c>
      <c r="F8" s="8">
        <f>SUM(IF(COUNT(Risultati!B$5:B$15)&gt;=5,IF(Risultati!B8=3,1,0),0),IF(COUNT(Risultati!C$5:C$15)&gt;=5,IF(Risultati!C8=3,1,0),0),IF(COUNT(Risultati!D$5:D$15)&gt;=5,IF(Risultati!D8=3,1,0),0),IF(COUNT(Risultati!E$5:E$15)&gt;=5,IF(Risultati!E8=3,1,0),0),IF(COUNT(Risultati!F$5:F$15)&gt;=5,IF(Risultati!F8=3,1,0),0),IF(COUNT(Risultati!G$5:G$15)&gt;=5,IF(Risultati!G8=3,1,0),0),IF(COUNT(Risultati!H$5:H$15)&gt;=5,IF(Risultati!H8=3,1,0),0),IF(COUNT(Risultati!I$5:I$15)&gt;=5,IF(Risultati!I8=3,1,0),0),IF(COUNT(Risultati!J$5:J$15)&gt;=5,IF(Risultati!J8=3,1,0),0),IF(COUNT(Risultati!K$5:K$15)&gt;=5,IF(Risultati!K8=3,1,0),0),IF(COUNT(Risultati!L$5:L$15)&gt;=5,IF(Risultati!L8=3,1,0),0),IF(COUNT(Risultati!M$5:M$15)&gt;=5,IF(Risultati!M8=3,1,0),0))</f>
        <v>0</v>
      </c>
      <c r="G8" s="8">
        <f>SUM(Dettaglio!B8:M8)</f>
        <v>0</v>
      </c>
      <c r="H8" s="8">
        <f>IF(COUNT(Dettaglio!B8:M8)=0,"—",SMALL(Dettaglio!B8:M8,1))</f>
        <v>0</v>
      </c>
      <c r="I8" s="8" t="str">
        <f>IF(COUNT(Dettaglio!B8:M8)&lt;2,"—",SMALL(Dettaglio!B8:M8,2))</f>
        <v>—</v>
      </c>
      <c r="J8" s="9">
        <f t="shared" si="0"/>
        <v>0</v>
      </c>
    </row>
    <row r="9" spans="1:10" x14ac:dyDescent="0.45">
      <c r="A9" s="8" t="e">
        <f ca="1">IF(COUNT(Dettaglio!B9:M9)=0,"—",_xludf.RANK.EQ(J9,$J$5:$J$15,0))</f>
        <v>#NAME?</v>
      </c>
      <c r="B9" s="3" t="s">
        <v>8</v>
      </c>
      <c r="C9" s="8">
        <f>SUM(IF(COUNT(Risultati!B$5:B$15)&gt;=5,IF(ISNUMBER(Risultati!B9),1,0),0),IF(COUNT(Risultati!C$5:C$15)&gt;=5,IF(ISNUMBER(Risultati!C9),1,0),0),IF(COUNT(Risultati!D$5:D$15)&gt;=5,IF(ISNUMBER(Risultati!D9),1,0),0),IF(COUNT(Risultati!E$5:E$15)&gt;=5,IF(ISNUMBER(Risultati!E9),1,0),0),IF(COUNT(Risultati!F$5:F$15)&gt;=5,IF(ISNUMBER(Risultati!F9),1,0),0),IF(COUNT(Risultati!G$5:G$15)&gt;=5,IF(ISNUMBER(Risultati!G9),1,0),0),IF(COUNT(Risultati!H$5:H$15)&gt;=5,IF(ISNUMBER(Risultati!H9),1,0),0),IF(COUNT(Risultati!I$5:I$15)&gt;=5,IF(ISNUMBER(Risultati!I9),1,0),0),IF(COUNT(Risultati!J$5:J$15)&gt;=5,IF(ISNUMBER(Risultati!J9),1,0),0),IF(COUNT(Risultati!K$5:K$15)&gt;=5,IF(ISNUMBER(Risultati!K9),1,0),0),IF(COUNT(Risultati!L$5:L$15)&gt;=5,IF(ISNUMBER(Risultati!L9),1,0),0),IF(COUNT(Risultati!M$5:M$15)&gt;=5,IF(ISNUMBER(Risultati!M9),1,0),0))</f>
        <v>1</v>
      </c>
      <c r="D9" s="8">
        <f>SUM(IF(COUNT(Risultati!B$5:B$15)&gt;=5,IF(Risultati!B9=1,1,0),0),IF(COUNT(Risultati!C$5:C$15)&gt;=5,IF(Risultati!C9=1,1,0),0),IF(COUNT(Risultati!D$5:D$15)&gt;=5,IF(Risultati!D9=1,1,0),0),IF(COUNT(Risultati!E$5:E$15)&gt;=5,IF(Risultati!E9=1,1,0),0),IF(COUNT(Risultati!F$5:F$15)&gt;=5,IF(Risultati!F9=1,1,0),0),IF(COUNT(Risultati!G$5:G$15)&gt;=5,IF(Risultati!G9=1,1,0),0),IF(COUNT(Risultati!H$5:H$15)&gt;=5,IF(Risultati!H9=1,1,0),0),IF(COUNT(Risultati!I$5:I$15)&gt;=5,IF(Risultati!I9=1,1,0),0),IF(COUNT(Risultati!J$5:J$15)&gt;=5,IF(Risultati!J9=1,1,0),0),IF(COUNT(Risultati!K$5:K$15)&gt;=5,IF(Risultati!K9=1,1,0),0),IF(COUNT(Risultati!L$5:L$15)&gt;=5,IF(Risultati!L9=1,1,0),0),IF(COUNT(Risultati!M$5:M$15)&gt;=5,IF(Risultati!M9=1,1,0),0))</f>
        <v>0</v>
      </c>
      <c r="E9" s="8">
        <f>SUM(IF(COUNT(Risultati!B$5:B$15)&gt;=5,IF(Risultati!B9=2,1,0),0),IF(COUNT(Risultati!C$5:C$15)&gt;=5,IF(Risultati!C9=2,1,0),0),IF(COUNT(Risultati!D$5:D$15)&gt;=5,IF(Risultati!D9=2,1,0),0),IF(COUNT(Risultati!E$5:E$15)&gt;=5,IF(Risultati!E9=2,1,0),0),IF(COUNT(Risultati!F$5:F$15)&gt;=5,IF(Risultati!F9=2,1,0),0),IF(COUNT(Risultati!G$5:G$15)&gt;=5,IF(Risultati!G9=2,1,0),0),IF(COUNT(Risultati!H$5:H$15)&gt;=5,IF(Risultati!H9=2,1,0),0),IF(COUNT(Risultati!I$5:I$15)&gt;=5,IF(Risultati!I9=2,1,0),0),IF(COUNT(Risultati!J$5:J$15)&gt;=5,IF(Risultati!J9=2,1,0),0),IF(COUNT(Risultati!K$5:K$15)&gt;=5,IF(Risultati!K9=2,1,0),0),IF(COUNT(Risultati!L$5:L$15)&gt;=5,IF(Risultati!L9=2,1,0),0),IF(COUNT(Risultati!M$5:M$15)&gt;=5,IF(Risultati!M9=2,1,0),0))</f>
        <v>0</v>
      </c>
      <c r="F9" s="8">
        <f>SUM(IF(COUNT(Risultati!B$5:B$15)&gt;=5,IF(Risultati!B9=3,1,0),0),IF(COUNT(Risultati!C$5:C$15)&gt;=5,IF(Risultati!C9=3,1,0),0),IF(COUNT(Risultati!D$5:D$15)&gt;=5,IF(Risultati!D9=3,1,0),0),IF(COUNT(Risultati!E$5:E$15)&gt;=5,IF(Risultati!E9=3,1,0),0),IF(COUNT(Risultati!F$5:F$15)&gt;=5,IF(Risultati!F9=3,1,0),0),IF(COUNT(Risultati!G$5:G$15)&gt;=5,IF(Risultati!G9=3,1,0),0),IF(COUNT(Risultati!H$5:H$15)&gt;=5,IF(Risultati!H9=3,1,0),0),IF(COUNT(Risultati!I$5:I$15)&gt;=5,IF(Risultati!I9=3,1,0),0),IF(COUNT(Risultati!J$5:J$15)&gt;=5,IF(Risultati!J9=3,1,0),0),IF(COUNT(Risultati!K$5:K$15)&gt;=5,IF(Risultati!K9=3,1,0),0),IF(COUNT(Risultati!L$5:L$15)&gt;=5,IF(Risultati!L9=3,1,0),0),IF(COUNT(Risultati!M$5:M$15)&gt;=5,IF(Risultati!M9=3,1,0),0))</f>
        <v>0</v>
      </c>
      <c r="G9" s="8">
        <f>SUM(Dettaglio!B9:M9)</f>
        <v>13</v>
      </c>
      <c r="H9" s="8">
        <f>IF(COUNT(Dettaglio!B9:M9)=0,"—",SMALL(Dettaglio!B9:M9,1))</f>
        <v>13</v>
      </c>
      <c r="I9" s="8" t="str">
        <f>IF(COUNT(Dettaglio!B9:M9)&lt;2,"—",SMALL(Dettaglio!B9:M9,2))</f>
        <v>—</v>
      </c>
      <c r="J9" s="9">
        <f t="shared" si="0"/>
        <v>0</v>
      </c>
    </row>
    <row r="10" spans="1:10" x14ac:dyDescent="0.45">
      <c r="A10" s="8" t="e">
        <f ca="1">IF(COUNT(Dettaglio!B10:M10)=0,"—",_xludf.RANK.EQ(J10,$J$5:$J$15,0))</f>
        <v>#NAME?</v>
      </c>
      <c r="B10" s="3" t="s">
        <v>9</v>
      </c>
      <c r="C10" s="8">
        <f>SUM(IF(COUNT(Risultati!B$5:B$15)&gt;=5,IF(ISNUMBER(Risultati!B10),1,0),0),IF(COUNT(Risultati!C$5:C$15)&gt;=5,IF(ISNUMBER(Risultati!C10),1,0),0),IF(COUNT(Risultati!D$5:D$15)&gt;=5,IF(ISNUMBER(Risultati!D10),1,0),0),IF(COUNT(Risultati!E$5:E$15)&gt;=5,IF(ISNUMBER(Risultati!E10),1,0),0),IF(COUNT(Risultati!F$5:F$15)&gt;=5,IF(ISNUMBER(Risultati!F10),1,0),0),IF(COUNT(Risultati!G$5:G$15)&gt;=5,IF(ISNUMBER(Risultati!G10),1,0),0),IF(COUNT(Risultati!H$5:H$15)&gt;=5,IF(ISNUMBER(Risultati!H10),1,0),0),IF(COUNT(Risultati!I$5:I$15)&gt;=5,IF(ISNUMBER(Risultati!I10),1,0),0),IF(COUNT(Risultati!J$5:J$15)&gt;=5,IF(ISNUMBER(Risultati!J10),1,0),0),IF(COUNT(Risultati!K$5:K$15)&gt;=5,IF(ISNUMBER(Risultati!K10),1,0),0),IF(COUNT(Risultati!L$5:L$15)&gt;=5,IF(ISNUMBER(Risultati!L10),1,0),0),IF(COUNT(Risultati!M$5:M$15)&gt;=5,IF(ISNUMBER(Risultati!M10),1,0),0))</f>
        <v>0</v>
      </c>
      <c r="D10" s="8">
        <f>SUM(IF(COUNT(Risultati!B$5:B$15)&gt;=5,IF(Risultati!B10=1,1,0),0),IF(COUNT(Risultati!C$5:C$15)&gt;=5,IF(Risultati!C10=1,1,0),0),IF(COUNT(Risultati!D$5:D$15)&gt;=5,IF(Risultati!D10=1,1,0),0),IF(COUNT(Risultati!E$5:E$15)&gt;=5,IF(Risultati!E10=1,1,0),0),IF(COUNT(Risultati!F$5:F$15)&gt;=5,IF(Risultati!F10=1,1,0),0),IF(COUNT(Risultati!G$5:G$15)&gt;=5,IF(Risultati!G10=1,1,0),0),IF(COUNT(Risultati!H$5:H$15)&gt;=5,IF(Risultati!H10=1,1,0),0),IF(COUNT(Risultati!I$5:I$15)&gt;=5,IF(Risultati!I10=1,1,0),0),IF(COUNT(Risultati!J$5:J$15)&gt;=5,IF(Risultati!J10=1,1,0),0),IF(COUNT(Risultati!K$5:K$15)&gt;=5,IF(Risultati!K10=1,1,0),0),IF(COUNT(Risultati!L$5:L$15)&gt;=5,IF(Risultati!L10=1,1,0),0),IF(COUNT(Risultati!M$5:M$15)&gt;=5,IF(Risultati!M10=1,1,0),0))</f>
        <v>0</v>
      </c>
      <c r="E10" s="8">
        <f>SUM(IF(COUNT(Risultati!B$5:B$15)&gt;=5,IF(Risultati!B10=2,1,0),0),IF(COUNT(Risultati!C$5:C$15)&gt;=5,IF(Risultati!C10=2,1,0),0),IF(COUNT(Risultati!D$5:D$15)&gt;=5,IF(Risultati!D10=2,1,0),0),IF(COUNT(Risultati!E$5:E$15)&gt;=5,IF(Risultati!E10=2,1,0),0),IF(COUNT(Risultati!F$5:F$15)&gt;=5,IF(Risultati!F10=2,1,0),0),IF(COUNT(Risultati!G$5:G$15)&gt;=5,IF(Risultati!G10=2,1,0),0),IF(COUNT(Risultati!H$5:H$15)&gt;=5,IF(Risultati!H10=2,1,0),0),IF(COUNT(Risultati!I$5:I$15)&gt;=5,IF(Risultati!I10=2,1,0),0),IF(COUNT(Risultati!J$5:J$15)&gt;=5,IF(Risultati!J10=2,1,0),0),IF(COUNT(Risultati!K$5:K$15)&gt;=5,IF(Risultati!K10=2,1,0),0),IF(COUNT(Risultati!L$5:L$15)&gt;=5,IF(Risultati!L10=2,1,0),0),IF(COUNT(Risultati!M$5:M$15)&gt;=5,IF(Risultati!M10=2,1,0),0))</f>
        <v>0</v>
      </c>
      <c r="F10" s="8">
        <f>SUM(IF(COUNT(Risultati!B$5:B$15)&gt;=5,IF(Risultati!B10=3,1,0),0),IF(COUNT(Risultati!C$5:C$15)&gt;=5,IF(Risultati!C10=3,1,0),0),IF(COUNT(Risultati!D$5:D$15)&gt;=5,IF(Risultati!D10=3,1,0),0),IF(COUNT(Risultati!E$5:E$15)&gt;=5,IF(Risultati!E10=3,1,0),0),IF(COUNT(Risultati!F$5:F$15)&gt;=5,IF(Risultati!F10=3,1,0),0),IF(COUNT(Risultati!G$5:G$15)&gt;=5,IF(Risultati!G10=3,1,0),0),IF(COUNT(Risultati!H$5:H$15)&gt;=5,IF(Risultati!H10=3,1,0),0),IF(COUNT(Risultati!I$5:I$15)&gt;=5,IF(Risultati!I10=3,1,0),0),IF(COUNT(Risultati!J$5:J$15)&gt;=5,IF(Risultati!J10=3,1,0),0),IF(COUNT(Risultati!K$5:K$15)&gt;=5,IF(Risultati!K10=3,1,0),0),IF(COUNT(Risultati!L$5:L$15)&gt;=5,IF(Risultati!L10=3,1,0),0),IF(COUNT(Risultati!M$5:M$15)&gt;=5,IF(Risultati!M10=3,1,0),0))</f>
        <v>0</v>
      </c>
      <c r="G10" s="8">
        <f>SUM(Dettaglio!B10:M10)</f>
        <v>0</v>
      </c>
      <c r="H10" s="8">
        <f>IF(COUNT(Dettaglio!B10:M10)=0,"—",SMALL(Dettaglio!B10:M10,1))</f>
        <v>0</v>
      </c>
      <c r="I10" s="8" t="str">
        <f>IF(COUNT(Dettaglio!B10:M10)&lt;2,"—",SMALL(Dettaglio!B10:M10,2))</f>
        <v>—</v>
      </c>
      <c r="J10" s="9">
        <f t="shared" si="0"/>
        <v>0</v>
      </c>
    </row>
    <row r="11" spans="1:10" x14ac:dyDescent="0.45">
      <c r="A11" s="8" t="e">
        <f ca="1">IF(COUNT(Dettaglio!B11:M11)=0,"—",_xludf.RANK.EQ(J11,$J$5:$J$15,0))</f>
        <v>#NAME?</v>
      </c>
      <c r="B11" s="3" t="s">
        <v>10</v>
      </c>
      <c r="C11" s="8">
        <f>SUM(IF(COUNT(Risultati!B$5:B$15)&gt;=5,IF(ISNUMBER(Risultati!B11),1,0),0),IF(COUNT(Risultati!C$5:C$15)&gt;=5,IF(ISNUMBER(Risultati!C11),1,0),0),IF(COUNT(Risultati!D$5:D$15)&gt;=5,IF(ISNUMBER(Risultati!D11),1,0),0),IF(COUNT(Risultati!E$5:E$15)&gt;=5,IF(ISNUMBER(Risultati!E11),1,0),0),IF(COUNT(Risultati!F$5:F$15)&gt;=5,IF(ISNUMBER(Risultati!F11),1,0),0),IF(COUNT(Risultati!G$5:G$15)&gt;=5,IF(ISNUMBER(Risultati!G11),1,0),0),IF(COUNT(Risultati!H$5:H$15)&gt;=5,IF(ISNUMBER(Risultati!H11),1,0),0),IF(COUNT(Risultati!I$5:I$15)&gt;=5,IF(ISNUMBER(Risultati!I11),1,0),0),IF(COUNT(Risultati!J$5:J$15)&gt;=5,IF(ISNUMBER(Risultati!J11),1,0),0),IF(COUNT(Risultati!K$5:K$15)&gt;=5,IF(ISNUMBER(Risultati!K11),1,0),0),IF(COUNT(Risultati!L$5:L$15)&gt;=5,IF(ISNUMBER(Risultati!L11),1,0),0),IF(COUNT(Risultati!M$5:M$15)&gt;=5,IF(ISNUMBER(Risultati!M11),1,0),0))</f>
        <v>1</v>
      </c>
      <c r="D11" s="8">
        <f>SUM(IF(COUNT(Risultati!B$5:B$15)&gt;=5,IF(Risultati!B11=1,1,0),0),IF(COUNT(Risultati!C$5:C$15)&gt;=5,IF(Risultati!C11=1,1,0),0),IF(COUNT(Risultati!D$5:D$15)&gt;=5,IF(Risultati!D11=1,1,0),0),IF(COUNT(Risultati!E$5:E$15)&gt;=5,IF(Risultati!E11=1,1,0),0),IF(COUNT(Risultati!F$5:F$15)&gt;=5,IF(Risultati!F11=1,1,0),0),IF(COUNT(Risultati!G$5:G$15)&gt;=5,IF(Risultati!G11=1,1,0),0),IF(COUNT(Risultati!H$5:H$15)&gt;=5,IF(Risultati!H11=1,1,0),0),IF(COUNT(Risultati!I$5:I$15)&gt;=5,IF(Risultati!I11=1,1,0),0),IF(COUNT(Risultati!J$5:J$15)&gt;=5,IF(Risultati!J11=1,1,0),0),IF(COUNT(Risultati!K$5:K$15)&gt;=5,IF(Risultati!K11=1,1,0),0),IF(COUNT(Risultati!L$5:L$15)&gt;=5,IF(Risultati!L11=1,1,0),0),IF(COUNT(Risultati!M$5:M$15)&gt;=5,IF(Risultati!M11=1,1,0),0))</f>
        <v>0</v>
      </c>
      <c r="E11" s="8">
        <f>SUM(IF(COUNT(Risultati!B$5:B$15)&gt;=5,IF(Risultati!B11=2,1,0),0),IF(COUNT(Risultati!C$5:C$15)&gt;=5,IF(Risultati!C11=2,1,0),0),IF(COUNT(Risultati!D$5:D$15)&gt;=5,IF(Risultati!D11=2,1,0),0),IF(COUNT(Risultati!E$5:E$15)&gt;=5,IF(Risultati!E11=2,1,0),0),IF(COUNT(Risultati!F$5:F$15)&gt;=5,IF(Risultati!F11=2,1,0),0),IF(COUNT(Risultati!G$5:G$15)&gt;=5,IF(Risultati!G11=2,1,0),0),IF(COUNT(Risultati!H$5:H$15)&gt;=5,IF(Risultati!H11=2,1,0),0),IF(COUNT(Risultati!I$5:I$15)&gt;=5,IF(Risultati!I11=2,1,0),0),IF(COUNT(Risultati!J$5:J$15)&gt;=5,IF(Risultati!J11=2,1,0),0),IF(COUNT(Risultati!K$5:K$15)&gt;=5,IF(Risultati!K11=2,1,0),0),IF(COUNT(Risultati!L$5:L$15)&gt;=5,IF(Risultati!L11=2,1,0),0),IF(COUNT(Risultati!M$5:M$15)&gt;=5,IF(Risultati!M11=2,1,0),0))</f>
        <v>1</v>
      </c>
      <c r="F11" s="8">
        <f>SUM(IF(COUNT(Risultati!B$5:B$15)&gt;=5,IF(Risultati!B11=3,1,0),0),IF(COUNT(Risultati!C$5:C$15)&gt;=5,IF(Risultati!C11=3,1,0),0),IF(COUNT(Risultati!D$5:D$15)&gt;=5,IF(Risultati!D11=3,1,0),0),IF(COUNT(Risultati!E$5:E$15)&gt;=5,IF(Risultati!E11=3,1,0),0),IF(COUNT(Risultati!F$5:F$15)&gt;=5,IF(Risultati!F11=3,1,0),0),IF(COUNT(Risultati!G$5:G$15)&gt;=5,IF(Risultati!G11=3,1,0),0),IF(COUNT(Risultati!H$5:H$15)&gt;=5,IF(Risultati!H11=3,1,0),0),IF(COUNT(Risultati!I$5:I$15)&gt;=5,IF(Risultati!I11=3,1,0),0),IF(COUNT(Risultati!J$5:J$15)&gt;=5,IF(Risultati!J11=3,1,0),0),IF(COUNT(Risultati!K$5:K$15)&gt;=5,IF(Risultati!K11=3,1,0),0),IF(COUNT(Risultati!L$5:L$15)&gt;=5,IF(Risultati!L11=3,1,0),0),IF(COUNT(Risultati!M$5:M$15)&gt;=5,IF(Risultati!M11=3,1,0),0))</f>
        <v>0</v>
      </c>
      <c r="G11" s="8">
        <f>SUM(Dettaglio!B11:M11)</f>
        <v>23</v>
      </c>
      <c r="H11" s="8">
        <f>IF(COUNT(Dettaglio!B11:M11)=0,"—",SMALL(Dettaglio!B11:M11,1))</f>
        <v>23</v>
      </c>
      <c r="I11" s="8" t="str">
        <f>IF(COUNT(Dettaglio!B11:M11)&lt;2,"—",SMALL(Dettaglio!B11:M11,2))</f>
        <v>—</v>
      </c>
      <c r="J11" s="9">
        <f t="shared" si="0"/>
        <v>0</v>
      </c>
    </row>
    <row r="12" spans="1:10" x14ac:dyDescent="0.45">
      <c r="A12" s="8" t="e">
        <f ca="1">IF(COUNT(Dettaglio!B12:M12)=0,"—",_xludf.RANK.EQ(J12,$J$5:$J$15,0))</f>
        <v>#NAME?</v>
      </c>
      <c r="B12" s="3" t="s">
        <v>11</v>
      </c>
      <c r="C12" s="8">
        <f>SUM(IF(COUNT(Risultati!B$5:B$15)&gt;=5,IF(ISNUMBER(Risultati!B12),1,0),0),IF(COUNT(Risultati!C$5:C$15)&gt;=5,IF(ISNUMBER(Risultati!C12),1,0),0),IF(COUNT(Risultati!D$5:D$15)&gt;=5,IF(ISNUMBER(Risultati!D12),1,0),0),IF(COUNT(Risultati!E$5:E$15)&gt;=5,IF(ISNUMBER(Risultati!E12),1,0),0),IF(COUNT(Risultati!F$5:F$15)&gt;=5,IF(ISNUMBER(Risultati!F12),1,0),0),IF(COUNT(Risultati!G$5:G$15)&gt;=5,IF(ISNUMBER(Risultati!G12),1,0),0),IF(COUNT(Risultati!H$5:H$15)&gt;=5,IF(ISNUMBER(Risultati!H12),1,0),0),IF(COUNT(Risultati!I$5:I$15)&gt;=5,IF(ISNUMBER(Risultati!I12),1,0),0),IF(COUNT(Risultati!J$5:J$15)&gt;=5,IF(ISNUMBER(Risultati!J12),1,0),0),IF(COUNT(Risultati!K$5:K$15)&gt;=5,IF(ISNUMBER(Risultati!K12),1,0),0),IF(COUNT(Risultati!L$5:L$15)&gt;=5,IF(ISNUMBER(Risultati!L12),1,0),0),IF(COUNT(Risultati!M$5:M$15)&gt;=5,IF(ISNUMBER(Risultati!M12),1,0),0))</f>
        <v>1</v>
      </c>
      <c r="D12" s="8">
        <f>SUM(IF(COUNT(Risultati!B$5:B$15)&gt;=5,IF(Risultati!B12=1,1,0),0),IF(COUNT(Risultati!C$5:C$15)&gt;=5,IF(Risultati!C12=1,1,0),0),IF(COUNT(Risultati!D$5:D$15)&gt;=5,IF(Risultati!D12=1,1,0),0),IF(COUNT(Risultati!E$5:E$15)&gt;=5,IF(Risultati!E12=1,1,0),0),IF(COUNT(Risultati!F$5:F$15)&gt;=5,IF(Risultati!F12=1,1,0),0),IF(COUNT(Risultati!G$5:G$15)&gt;=5,IF(Risultati!G12=1,1,0),0),IF(COUNT(Risultati!H$5:H$15)&gt;=5,IF(Risultati!H12=1,1,0),0),IF(COUNT(Risultati!I$5:I$15)&gt;=5,IF(Risultati!I12=1,1,0),0),IF(COUNT(Risultati!J$5:J$15)&gt;=5,IF(Risultati!J12=1,1,0),0),IF(COUNT(Risultati!K$5:K$15)&gt;=5,IF(Risultati!K12=1,1,0),0),IF(COUNT(Risultati!L$5:L$15)&gt;=5,IF(Risultati!L12=1,1,0),0),IF(COUNT(Risultati!M$5:M$15)&gt;=5,IF(Risultati!M12=1,1,0),0))</f>
        <v>0</v>
      </c>
      <c r="E12" s="8">
        <f>SUM(IF(COUNT(Risultati!B$5:B$15)&gt;=5,IF(Risultati!B12=2,1,0),0),IF(COUNT(Risultati!C$5:C$15)&gt;=5,IF(Risultati!C12=2,1,0),0),IF(COUNT(Risultati!D$5:D$15)&gt;=5,IF(Risultati!D12=2,1,0),0),IF(COUNT(Risultati!E$5:E$15)&gt;=5,IF(Risultati!E12=2,1,0),0),IF(COUNT(Risultati!F$5:F$15)&gt;=5,IF(Risultati!F12=2,1,0),0),IF(COUNT(Risultati!G$5:G$15)&gt;=5,IF(Risultati!G12=2,1,0),0),IF(COUNT(Risultati!H$5:H$15)&gt;=5,IF(Risultati!H12=2,1,0),0),IF(COUNT(Risultati!I$5:I$15)&gt;=5,IF(Risultati!I12=2,1,0),0),IF(COUNT(Risultati!J$5:J$15)&gt;=5,IF(Risultati!J12=2,1,0),0),IF(COUNT(Risultati!K$5:K$15)&gt;=5,IF(Risultati!K12=2,1,0),0),IF(COUNT(Risultati!L$5:L$15)&gt;=5,IF(Risultati!L12=2,1,0),0),IF(COUNT(Risultati!M$5:M$15)&gt;=5,IF(Risultati!M12=2,1,0),0))</f>
        <v>0</v>
      </c>
      <c r="F12" s="8">
        <f>SUM(IF(COUNT(Risultati!B$5:B$15)&gt;=5,IF(Risultati!B12=3,1,0),0),IF(COUNT(Risultati!C$5:C$15)&gt;=5,IF(Risultati!C12=3,1,0),0),IF(COUNT(Risultati!D$5:D$15)&gt;=5,IF(Risultati!D12=3,1,0),0),IF(COUNT(Risultati!E$5:E$15)&gt;=5,IF(Risultati!E12=3,1,0),0),IF(COUNT(Risultati!F$5:F$15)&gt;=5,IF(Risultati!F12=3,1,0),0),IF(COUNT(Risultati!G$5:G$15)&gt;=5,IF(Risultati!G12=3,1,0),0),IF(COUNT(Risultati!H$5:H$15)&gt;=5,IF(Risultati!H12=3,1,0),0),IF(COUNT(Risultati!I$5:I$15)&gt;=5,IF(Risultati!I12=3,1,0),0),IF(COUNT(Risultati!J$5:J$15)&gt;=5,IF(Risultati!J12=3,1,0),0),IF(COUNT(Risultati!K$5:K$15)&gt;=5,IF(Risultati!K12=3,1,0),0),IF(COUNT(Risultati!L$5:L$15)&gt;=5,IF(Risultati!L12=3,1,0),0),IF(COUNT(Risultati!M$5:M$15)&gt;=5,IF(Risultati!M12=3,1,0),0))</f>
        <v>0</v>
      </c>
      <c r="G12" s="8">
        <f>SUM(Dettaglio!B12:M12)</f>
        <v>11</v>
      </c>
      <c r="H12" s="8">
        <f>IF(COUNT(Dettaglio!B12:M12)=0,"—",SMALL(Dettaglio!B12:M12,1))</f>
        <v>11</v>
      </c>
      <c r="I12" s="8" t="str">
        <f>IF(COUNT(Dettaglio!B12:M12)&lt;2,"—",SMALL(Dettaglio!B12:M12,2))</f>
        <v>—</v>
      </c>
      <c r="J12" s="9">
        <f t="shared" si="0"/>
        <v>0</v>
      </c>
    </row>
    <row r="13" spans="1:10" x14ac:dyDescent="0.45">
      <c r="A13" s="8" t="e">
        <f ca="1">IF(COUNT(Dettaglio!B13:M13)=0,"—",_xludf.RANK.EQ(J13,$J$5:$J$15,0))</f>
        <v>#NAME?</v>
      </c>
      <c r="B13" s="3" t="s">
        <v>12</v>
      </c>
      <c r="C13" s="8">
        <f>SUM(IF(COUNT(Risultati!B$5:B$15)&gt;=5,IF(ISNUMBER(Risultati!B13),1,0),0),IF(COUNT(Risultati!C$5:C$15)&gt;=5,IF(ISNUMBER(Risultati!C13),1,0),0),IF(COUNT(Risultati!D$5:D$15)&gt;=5,IF(ISNUMBER(Risultati!D13),1,0),0),IF(COUNT(Risultati!E$5:E$15)&gt;=5,IF(ISNUMBER(Risultati!E13),1,0),0),IF(COUNT(Risultati!F$5:F$15)&gt;=5,IF(ISNUMBER(Risultati!F13),1,0),0),IF(COUNT(Risultati!G$5:G$15)&gt;=5,IF(ISNUMBER(Risultati!G13),1,0),0),IF(COUNT(Risultati!H$5:H$15)&gt;=5,IF(ISNUMBER(Risultati!H13),1,0),0),IF(COUNT(Risultati!I$5:I$15)&gt;=5,IF(ISNUMBER(Risultati!I13),1,0),0),IF(COUNT(Risultati!J$5:J$15)&gt;=5,IF(ISNUMBER(Risultati!J13),1,0),0),IF(COUNT(Risultati!K$5:K$15)&gt;=5,IF(ISNUMBER(Risultati!K13),1,0),0),IF(COUNT(Risultati!L$5:L$15)&gt;=5,IF(ISNUMBER(Risultati!L13),1,0),0),IF(COUNT(Risultati!M$5:M$15)&gt;=5,IF(ISNUMBER(Risultati!M13),1,0),0))</f>
        <v>1</v>
      </c>
      <c r="D13" s="8">
        <f>SUM(IF(COUNT(Risultati!B$5:B$15)&gt;=5,IF(Risultati!B13=1,1,0),0),IF(COUNT(Risultati!C$5:C$15)&gt;=5,IF(Risultati!C13=1,1,0),0),IF(COUNT(Risultati!D$5:D$15)&gt;=5,IF(Risultati!D13=1,1,0),0),IF(COUNT(Risultati!E$5:E$15)&gt;=5,IF(Risultati!E13=1,1,0),0),IF(COUNT(Risultati!F$5:F$15)&gt;=5,IF(Risultati!F13=1,1,0),0),IF(COUNT(Risultati!G$5:G$15)&gt;=5,IF(Risultati!G13=1,1,0),0),IF(COUNT(Risultati!H$5:H$15)&gt;=5,IF(Risultati!H13=1,1,0),0),IF(COUNT(Risultati!I$5:I$15)&gt;=5,IF(Risultati!I13=1,1,0),0),IF(COUNT(Risultati!J$5:J$15)&gt;=5,IF(Risultati!J13=1,1,0),0),IF(COUNT(Risultati!K$5:K$15)&gt;=5,IF(Risultati!K13=1,1,0),0),IF(COUNT(Risultati!L$5:L$15)&gt;=5,IF(Risultati!L13=1,1,0),0),IF(COUNT(Risultati!M$5:M$15)&gt;=5,IF(Risultati!M13=1,1,0),0))</f>
        <v>0</v>
      </c>
      <c r="E13" s="8">
        <f>SUM(IF(COUNT(Risultati!B$5:B$15)&gt;=5,IF(Risultati!B13=2,1,0),0),IF(COUNT(Risultati!C$5:C$15)&gt;=5,IF(Risultati!C13=2,1,0),0),IF(COUNT(Risultati!D$5:D$15)&gt;=5,IF(Risultati!D13=2,1,0),0),IF(COUNT(Risultati!E$5:E$15)&gt;=5,IF(Risultati!E13=2,1,0),0),IF(COUNT(Risultati!F$5:F$15)&gt;=5,IF(Risultati!F13=2,1,0),0),IF(COUNT(Risultati!G$5:G$15)&gt;=5,IF(Risultati!G13=2,1,0),0),IF(COUNT(Risultati!H$5:H$15)&gt;=5,IF(Risultati!H13=2,1,0),0),IF(COUNT(Risultati!I$5:I$15)&gt;=5,IF(Risultati!I13=2,1,0),0),IF(COUNT(Risultati!J$5:J$15)&gt;=5,IF(Risultati!J13=2,1,0),0),IF(COUNT(Risultati!K$5:K$15)&gt;=5,IF(Risultati!K13=2,1,0),0),IF(COUNT(Risultati!L$5:L$15)&gt;=5,IF(Risultati!L13=2,1,0),0),IF(COUNT(Risultati!M$5:M$15)&gt;=5,IF(Risultati!M13=2,1,0),0))</f>
        <v>0</v>
      </c>
      <c r="F13" s="8">
        <f>SUM(IF(COUNT(Risultati!B$5:B$15)&gt;=5,IF(Risultati!B13=3,1,0),0),IF(COUNT(Risultati!C$5:C$15)&gt;=5,IF(Risultati!C13=3,1,0),0),IF(COUNT(Risultati!D$5:D$15)&gt;=5,IF(Risultati!D13=3,1,0),0),IF(COUNT(Risultati!E$5:E$15)&gt;=5,IF(Risultati!E13=3,1,0),0),IF(COUNT(Risultati!F$5:F$15)&gt;=5,IF(Risultati!F13=3,1,0),0),IF(COUNT(Risultati!G$5:G$15)&gt;=5,IF(Risultati!G13=3,1,0),0),IF(COUNT(Risultati!H$5:H$15)&gt;=5,IF(Risultati!H13=3,1,0),0),IF(COUNT(Risultati!I$5:I$15)&gt;=5,IF(Risultati!I13=3,1,0),0),IF(COUNT(Risultati!J$5:J$15)&gt;=5,IF(Risultati!J13=3,1,0),0),IF(COUNT(Risultati!K$5:K$15)&gt;=5,IF(Risultati!K13=3,1,0),0),IF(COUNT(Risultati!L$5:L$15)&gt;=5,IF(Risultati!L13=3,1,0),0),IF(COUNT(Risultati!M$5:M$15)&gt;=5,IF(Risultati!M13=3,1,0),0))</f>
        <v>1</v>
      </c>
      <c r="G13" s="8">
        <f>SUM(Dettaglio!B13:M13)</f>
        <v>20</v>
      </c>
      <c r="H13" s="8">
        <f>IF(COUNT(Dettaglio!B13:M13)=0,"—",SMALL(Dettaglio!B13:M13,1))</f>
        <v>20</v>
      </c>
      <c r="I13" s="8" t="str">
        <f>IF(COUNT(Dettaglio!B13:M13)&lt;2,"—",SMALL(Dettaglio!B13:M13,2))</f>
        <v>—</v>
      </c>
      <c r="J13" s="9">
        <f t="shared" si="0"/>
        <v>0</v>
      </c>
    </row>
    <row r="14" spans="1:10" x14ac:dyDescent="0.45">
      <c r="A14" s="8" t="e">
        <f ca="1">IF(COUNT(Dettaglio!B14:M14)=0,"—",_xludf.RANK.EQ(J14,$J$5:$J$15,0))</f>
        <v>#NAME?</v>
      </c>
      <c r="B14" s="3" t="s">
        <v>13</v>
      </c>
      <c r="C14" s="8">
        <f>SUM(IF(COUNT(Risultati!B$5:B$15)&gt;=5,IF(ISNUMBER(Risultati!B14),1,0),0),IF(COUNT(Risultati!C$5:C$15)&gt;=5,IF(ISNUMBER(Risultati!C14),1,0),0),IF(COUNT(Risultati!D$5:D$15)&gt;=5,IF(ISNUMBER(Risultati!D14),1,0),0),IF(COUNT(Risultati!E$5:E$15)&gt;=5,IF(ISNUMBER(Risultati!E14),1,0),0),IF(COUNT(Risultati!F$5:F$15)&gt;=5,IF(ISNUMBER(Risultati!F14),1,0),0),IF(COUNT(Risultati!G$5:G$15)&gt;=5,IF(ISNUMBER(Risultati!G14),1,0),0),IF(COUNT(Risultati!H$5:H$15)&gt;=5,IF(ISNUMBER(Risultati!H14),1,0),0),IF(COUNT(Risultati!I$5:I$15)&gt;=5,IF(ISNUMBER(Risultati!I14),1,0),0),IF(COUNT(Risultati!J$5:J$15)&gt;=5,IF(ISNUMBER(Risultati!J14),1,0),0),IF(COUNT(Risultati!K$5:K$15)&gt;=5,IF(ISNUMBER(Risultati!K14),1,0),0),IF(COUNT(Risultati!L$5:L$15)&gt;=5,IF(ISNUMBER(Risultati!L14),1,0),0),IF(COUNT(Risultati!M$5:M$15)&gt;=5,IF(ISNUMBER(Risultati!M14),1,0),0))</f>
        <v>0</v>
      </c>
      <c r="D14" s="8">
        <f>SUM(IF(COUNT(Risultati!B$5:B$15)&gt;=5,IF(Risultati!B14=1,1,0),0),IF(COUNT(Risultati!C$5:C$15)&gt;=5,IF(Risultati!C14=1,1,0),0),IF(COUNT(Risultati!D$5:D$15)&gt;=5,IF(Risultati!D14=1,1,0),0),IF(COUNT(Risultati!E$5:E$15)&gt;=5,IF(Risultati!E14=1,1,0),0),IF(COUNT(Risultati!F$5:F$15)&gt;=5,IF(Risultati!F14=1,1,0),0),IF(COUNT(Risultati!G$5:G$15)&gt;=5,IF(Risultati!G14=1,1,0),0),IF(COUNT(Risultati!H$5:H$15)&gt;=5,IF(Risultati!H14=1,1,0),0),IF(COUNT(Risultati!I$5:I$15)&gt;=5,IF(Risultati!I14=1,1,0),0),IF(COUNT(Risultati!J$5:J$15)&gt;=5,IF(Risultati!J14=1,1,0),0),IF(COUNT(Risultati!K$5:K$15)&gt;=5,IF(Risultati!K14=1,1,0),0),IF(COUNT(Risultati!L$5:L$15)&gt;=5,IF(Risultati!L14=1,1,0),0),IF(COUNT(Risultati!M$5:M$15)&gt;=5,IF(Risultati!M14=1,1,0),0))</f>
        <v>0</v>
      </c>
      <c r="E14" s="8">
        <f>SUM(IF(COUNT(Risultati!B$5:B$15)&gt;=5,IF(Risultati!B14=2,1,0),0),IF(COUNT(Risultati!C$5:C$15)&gt;=5,IF(Risultati!C14=2,1,0),0),IF(COUNT(Risultati!D$5:D$15)&gt;=5,IF(Risultati!D14=2,1,0),0),IF(COUNT(Risultati!E$5:E$15)&gt;=5,IF(Risultati!E14=2,1,0),0),IF(COUNT(Risultati!F$5:F$15)&gt;=5,IF(Risultati!F14=2,1,0),0),IF(COUNT(Risultati!G$5:G$15)&gt;=5,IF(Risultati!G14=2,1,0),0),IF(COUNT(Risultati!H$5:H$15)&gt;=5,IF(Risultati!H14=2,1,0),0),IF(COUNT(Risultati!I$5:I$15)&gt;=5,IF(Risultati!I14=2,1,0),0),IF(COUNT(Risultati!J$5:J$15)&gt;=5,IF(Risultati!J14=2,1,0),0),IF(COUNT(Risultati!K$5:K$15)&gt;=5,IF(Risultati!K14=2,1,0),0),IF(COUNT(Risultati!L$5:L$15)&gt;=5,IF(Risultati!L14=2,1,0),0),IF(COUNT(Risultati!M$5:M$15)&gt;=5,IF(Risultati!M14=2,1,0),0))</f>
        <v>0</v>
      </c>
      <c r="F14" s="8">
        <f>SUM(IF(COUNT(Risultati!B$5:B$15)&gt;=5,IF(Risultati!B14=3,1,0),0),IF(COUNT(Risultati!C$5:C$15)&gt;=5,IF(Risultati!C14=3,1,0),0),IF(COUNT(Risultati!D$5:D$15)&gt;=5,IF(Risultati!D14=3,1,0),0),IF(COUNT(Risultati!E$5:E$15)&gt;=5,IF(Risultati!E14=3,1,0),0),IF(COUNT(Risultati!F$5:F$15)&gt;=5,IF(Risultati!F14=3,1,0),0),IF(COUNT(Risultati!G$5:G$15)&gt;=5,IF(Risultati!G14=3,1,0),0),IF(COUNT(Risultati!H$5:H$15)&gt;=5,IF(Risultati!H14=3,1,0),0),IF(COUNT(Risultati!I$5:I$15)&gt;=5,IF(Risultati!I14=3,1,0),0),IF(COUNT(Risultati!J$5:J$15)&gt;=5,IF(Risultati!J14=3,1,0),0),IF(COUNT(Risultati!K$5:K$15)&gt;=5,IF(Risultati!K14=3,1,0),0),IF(COUNT(Risultati!L$5:L$15)&gt;=5,IF(Risultati!L14=3,1,0),0),IF(COUNT(Risultati!M$5:M$15)&gt;=5,IF(Risultati!M14=3,1,0),0))</f>
        <v>0</v>
      </c>
      <c r="G14" s="8">
        <f>SUM(Dettaglio!B14:M14)</f>
        <v>0</v>
      </c>
      <c r="H14" s="8">
        <f>IF(COUNT(Dettaglio!B14:M14)=0,"—",SMALL(Dettaglio!B14:M14,1))</f>
        <v>0</v>
      </c>
      <c r="I14" s="8" t="str">
        <f>IF(COUNT(Dettaglio!B14:M14)&lt;2,"—",SMALL(Dettaglio!B14:M14,2))</f>
        <v>—</v>
      </c>
      <c r="J14" s="9">
        <f t="shared" si="0"/>
        <v>0</v>
      </c>
    </row>
    <row r="15" spans="1:10" x14ac:dyDescent="0.45">
      <c r="A15" s="8" t="e">
        <f ca="1">IF(COUNT(Dettaglio!B15:M15)=0,"—",_xludf.RANK.EQ(J15,$J$5:$J$15,0))</f>
        <v>#NAME?</v>
      </c>
      <c r="B15" s="3" t="s">
        <v>14</v>
      </c>
      <c r="C15" s="8">
        <f>SUM(IF(COUNT(Risultati!B$5:B$15)&gt;=5,IF(ISNUMBER(Risultati!B15),1,0),0),IF(COUNT(Risultati!C$5:C$15)&gt;=5,IF(ISNUMBER(Risultati!C15),1,0),0),IF(COUNT(Risultati!D$5:D$15)&gt;=5,IF(ISNUMBER(Risultati!D15),1,0),0),IF(COUNT(Risultati!E$5:E$15)&gt;=5,IF(ISNUMBER(Risultati!E15),1,0),0),IF(COUNT(Risultati!F$5:F$15)&gt;=5,IF(ISNUMBER(Risultati!F15),1,0),0),IF(COUNT(Risultati!G$5:G$15)&gt;=5,IF(ISNUMBER(Risultati!G15),1,0),0),IF(COUNT(Risultati!H$5:H$15)&gt;=5,IF(ISNUMBER(Risultati!H15),1,0),0),IF(COUNT(Risultati!I$5:I$15)&gt;=5,IF(ISNUMBER(Risultati!I15),1,0),0),IF(COUNT(Risultati!J$5:J$15)&gt;=5,IF(ISNUMBER(Risultati!J15),1,0),0),IF(COUNT(Risultati!K$5:K$15)&gt;=5,IF(ISNUMBER(Risultati!K15),1,0),0),IF(COUNT(Risultati!L$5:L$15)&gt;=5,IF(ISNUMBER(Risultati!L15),1,0),0),IF(COUNT(Risultati!M$5:M$15)&gt;=5,IF(ISNUMBER(Risultati!M15),1,0),0))</f>
        <v>0</v>
      </c>
      <c r="D15" s="8">
        <f>SUM(IF(COUNT(Risultati!B$5:B$15)&gt;=5,IF(Risultati!B15=1,1,0),0),IF(COUNT(Risultati!C$5:C$15)&gt;=5,IF(Risultati!C15=1,1,0),0),IF(COUNT(Risultati!D$5:D$15)&gt;=5,IF(Risultati!D15=1,1,0),0),IF(COUNT(Risultati!E$5:E$15)&gt;=5,IF(Risultati!E15=1,1,0),0),IF(COUNT(Risultati!F$5:F$15)&gt;=5,IF(Risultati!F15=1,1,0),0),IF(COUNT(Risultati!G$5:G$15)&gt;=5,IF(Risultati!G15=1,1,0),0),IF(COUNT(Risultati!H$5:H$15)&gt;=5,IF(Risultati!H15=1,1,0),0),IF(COUNT(Risultati!I$5:I$15)&gt;=5,IF(Risultati!I15=1,1,0),0),IF(COUNT(Risultati!J$5:J$15)&gt;=5,IF(Risultati!J15=1,1,0),0),IF(COUNT(Risultati!K$5:K$15)&gt;=5,IF(Risultati!K15=1,1,0),0),IF(COUNT(Risultati!L$5:L$15)&gt;=5,IF(Risultati!L15=1,1,0),0),IF(COUNT(Risultati!M$5:M$15)&gt;=5,IF(Risultati!M15=1,1,0),0))</f>
        <v>0</v>
      </c>
      <c r="E15" s="8">
        <f>SUM(IF(COUNT(Risultati!B$5:B$15)&gt;=5,IF(Risultati!B15=2,1,0),0),IF(COUNT(Risultati!C$5:C$15)&gt;=5,IF(Risultati!C15=2,1,0),0),IF(COUNT(Risultati!D$5:D$15)&gt;=5,IF(Risultati!D15=2,1,0),0),IF(COUNT(Risultati!E$5:E$15)&gt;=5,IF(Risultati!E15=2,1,0),0),IF(COUNT(Risultati!F$5:F$15)&gt;=5,IF(Risultati!F15=2,1,0),0),IF(COUNT(Risultati!G$5:G$15)&gt;=5,IF(Risultati!G15=2,1,0),0),IF(COUNT(Risultati!H$5:H$15)&gt;=5,IF(Risultati!H15=2,1,0),0),IF(COUNT(Risultati!I$5:I$15)&gt;=5,IF(Risultati!I15=2,1,0),0),IF(COUNT(Risultati!J$5:J$15)&gt;=5,IF(Risultati!J15=2,1,0),0),IF(COUNT(Risultati!K$5:K$15)&gt;=5,IF(Risultati!K15=2,1,0),0),IF(COUNT(Risultati!L$5:L$15)&gt;=5,IF(Risultati!L15=2,1,0),0),IF(COUNT(Risultati!M$5:M$15)&gt;=5,IF(Risultati!M15=2,1,0),0))</f>
        <v>0</v>
      </c>
      <c r="F15" s="8">
        <f>SUM(IF(COUNT(Risultati!B$5:B$15)&gt;=5,IF(Risultati!B15=3,1,0),0),IF(COUNT(Risultati!C$5:C$15)&gt;=5,IF(Risultati!C15=3,1,0),0),IF(COUNT(Risultati!D$5:D$15)&gt;=5,IF(Risultati!D15=3,1,0),0),IF(COUNT(Risultati!E$5:E$15)&gt;=5,IF(Risultati!E15=3,1,0),0),IF(COUNT(Risultati!F$5:F$15)&gt;=5,IF(Risultati!F15=3,1,0),0),IF(COUNT(Risultati!G$5:G$15)&gt;=5,IF(Risultati!G15=3,1,0),0),IF(COUNT(Risultati!H$5:H$15)&gt;=5,IF(Risultati!H15=3,1,0),0),IF(COUNT(Risultati!I$5:I$15)&gt;=5,IF(Risultati!I15=3,1,0),0),IF(COUNT(Risultati!J$5:J$15)&gt;=5,IF(Risultati!J15=3,1,0),0),IF(COUNT(Risultati!K$5:K$15)&gt;=5,IF(Risultati!K15=3,1,0),0),IF(COUNT(Risultati!L$5:L$15)&gt;=5,IF(Risultati!L15=3,1,0),0),IF(COUNT(Risultati!M$5:M$15)&gt;=5,IF(Risultati!M15=3,1,0),0))</f>
        <v>0</v>
      </c>
      <c r="G15" s="8">
        <f>SUM(Dettaglio!B15:M15)</f>
        <v>0</v>
      </c>
      <c r="H15" s="8">
        <f>IF(COUNT(Dettaglio!B15:M15)=0,"—",SMALL(Dettaglio!B15:M15,1))</f>
        <v>0</v>
      </c>
      <c r="I15" s="8" t="str">
        <f>IF(COUNT(Dettaglio!B15:M15)&lt;2,"—",SMALL(Dettaglio!B15:M15,2))</f>
        <v>—</v>
      </c>
      <c r="J15" s="9">
        <f t="shared" si="0"/>
        <v>0</v>
      </c>
    </row>
  </sheetData>
  <autoFilter ref="A4:J15" xr:uid="{00000000-0009-0000-0000-000001000000}"/>
  <mergeCells count="2">
    <mergeCell ref="A1:J1"/>
    <mergeCell ref="A2:J2"/>
  </mergeCells>
  <pageMargins left="0.25" right="0.25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showGridLines="0" workbookViewId="0"/>
  </sheetViews>
  <sheetFormatPr defaultRowHeight="14.25" x14ac:dyDescent="0.45"/>
  <cols>
    <col min="1" max="1" width="23" customWidth="1"/>
    <col min="2" max="13" width="15" customWidth="1"/>
  </cols>
  <sheetData>
    <row r="1" spans="1:13" x14ac:dyDescent="0.45">
      <c r="A1" s="11" t="s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45">
      <c r="A2" s="13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x14ac:dyDescent="0.45">
      <c r="A4" s="1" t="s">
        <v>2</v>
      </c>
      <c r="B4" s="2">
        <f>Risultati!B4</f>
        <v>46324</v>
      </c>
      <c r="C4" s="2">
        <f>Risultati!C4</f>
        <v>46338</v>
      </c>
      <c r="D4" s="2">
        <f>Risultati!D4</f>
        <v>46352</v>
      </c>
      <c r="E4" s="2">
        <f>Risultati!E4</f>
        <v>46366</v>
      </c>
      <c r="F4" s="2">
        <f>Risultati!F4</f>
        <v>46394</v>
      </c>
      <c r="G4" s="2">
        <f>Risultati!G4</f>
        <v>46408</v>
      </c>
      <c r="H4" s="2">
        <f>Risultati!H4</f>
        <v>46422</v>
      </c>
      <c r="I4" s="2">
        <f>Risultati!I4</f>
        <v>46436</v>
      </c>
      <c r="J4" s="2">
        <f>Risultati!J4</f>
        <v>46450</v>
      </c>
      <c r="K4" s="2">
        <f>Risultati!K4</f>
        <v>46464</v>
      </c>
      <c r="L4" s="2">
        <f>Risultati!L4</f>
        <v>46478</v>
      </c>
      <c r="M4" s="2">
        <f>Risultati!M4</f>
        <v>46492</v>
      </c>
    </row>
    <row r="5" spans="1:13" x14ac:dyDescent="0.45">
      <c r="A5" s="3" t="s">
        <v>3</v>
      </c>
      <c r="B5" s="8">
        <f>IF(COUNT(Risultati!B$5:B$15)&gt;=5,IF(Risultati!B5="",0,5+INDEX(Regole!$D$2:$D$13,Risultati!B5)+IF(Risultati!B$17=$A5,INDEX(Regole!$D$2:$D$13,Risultati!B5),0)),"")</f>
        <v>15</v>
      </c>
      <c r="C5" s="8" t="str">
        <f>IF(COUNT(Risultati!C$5:C$15)&gt;=5,IF(Risultati!C5="",0,5+INDEX(Regole!$D$2:$D$13,Risultati!C5)+IF(Risultati!C$17=$A5,INDEX(Regole!$D$2:$D$13,Risultati!C5),0)),"")</f>
        <v/>
      </c>
      <c r="D5" s="8" t="str">
        <f>IF(COUNT(Risultati!D$5:D$15)&gt;=5,IF(Risultati!D5="",0,5+INDEX(Regole!$D$2:$D$13,Risultati!D5)+IF(Risultati!D$17=$A5,INDEX(Regole!$D$2:$D$13,Risultati!D5),0)),"")</f>
        <v/>
      </c>
      <c r="E5" s="8" t="str">
        <f>IF(COUNT(Risultati!E$5:E$15)&gt;=5,IF(Risultati!E5="",0,5+INDEX(Regole!$D$2:$D$13,Risultati!E5)+IF(Risultati!E$17=$A5,INDEX(Regole!$D$2:$D$13,Risultati!E5),0)),"")</f>
        <v/>
      </c>
      <c r="F5" s="8" t="str">
        <f>IF(COUNT(Risultati!F$5:F$15)&gt;=5,IF(Risultati!F5="",0,5+INDEX(Regole!$D$2:$D$13,Risultati!F5)+IF(Risultati!F$17=$A5,INDEX(Regole!$D$2:$D$13,Risultati!F5),0)),"")</f>
        <v/>
      </c>
      <c r="G5" s="8" t="str">
        <f>IF(COUNT(Risultati!G$5:G$15)&gt;=5,IF(Risultati!G5="",0,5+INDEX(Regole!$D$2:$D$13,Risultati!G5)+IF(Risultati!G$17=$A5,INDEX(Regole!$D$2:$D$13,Risultati!G5),0)),"")</f>
        <v/>
      </c>
      <c r="H5" s="8" t="str">
        <f>IF(COUNT(Risultati!H$5:H$15)&gt;=5,IF(Risultati!H5="",0,5+INDEX(Regole!$D$2:$D$13,Risultati!H5)+IF(Risultati!H$17=$A5,INDEX(Regole!$D$2:$D$13,Risultati!H5),0)),"")</f>
        <v/>
      </c>
      <c r="I5" s="8" t="str">
        <f>IF(COUNT(Risultati!I$5:I$15)&gt;=5,IF(Risultati!I5="",0,5+INDEX(Regole!$D$2:$D$13,Risultati!I5)+IF(Risultati!I$17=$A5,INDEX(Regole!$D$2:$D$13,Risultati!I5),0)),"")</f>
        <v/>
      </c>
      <c r="J5" s="8" t="str">
        <f>IF(COUNT(Risultati!J$5:J$15)&gt;=5,IF(Risultati!J5="",0,5+INDEX(Regole!$D$2:$D$13,Risultati!J5)+IF(Risultati!J$17=$A5,INDEX(Regole!$D$2:$D$13,Risultati!J5),0)),"")</f>
        <v/>
      </c>
      <c r="K5" s="8" t="str">
        <f>IF(COUNT(Risultati!K$5:K$15)&gt;=5,IF(Risultati!K5="",0,5+INDEX(Regole!$D$2:$D$13,Risultati!K5)+IF(Risultati!K$17=$A5,INDEX(Regole!$D$2:$D$13,Risultati!K5),0)),"")</f>
        <v/>
      </c>
      <c r="L5" s="8" t="str">
        <f>IF(COUNT(Risultati!L$5:L$15)&gt;=5,IF(Risultati!L5="",0,5+INDEX(Regole!$D$2:$D$13,Risultati!L5)+IF(Risultati!L$17=$A5,INDEX(Regole!$D$2:$D$13,Risultati!L5),0)),"")</f>
        <v/>
      </c>
      <c r="M5" s="8" t="str">
        <f>IF(COUNT(Risultati!M$5:M$15)&gt;=5,IF(Risultati!M5="",0,5+INDEX(Regole!$D$2:$D$13,Risultati!M5)+IF(Risultati!M$17=$A5,INDEX(Regole!$D$2:$D$13,Risultati!M5),0)),"")</f>
        <v/>
      </c>
    </row>
    <row r="6" spans="1:13" x14ac:dyDescent="0.45">
      <c r="A6" s="3" t="s">
        <v>5</v>
      </c>
      <c r="B6" s="8">
        <f>IF(COUNT(Risultati!B$5:B$15)&gt;=5,IF(Risultati!B6="",0,5+INDEX(Regole!$D$2:$D$13,Risultati!B6)+IF(Risultati!B$17=$A6,INDEX(Regole!$D$2:$D$13,Risultati!B6),0)),"")</f>
        <v>17</v>
      </c>
      <c r="C6" s="8" t="str">
        <f>IF(COUNT(Risultati!C$5:C$15)&gt;=5,IF(Risultati!C6="",0,5+INDEX(Regole!$D$2:$D$13,Risultati!C6)+IF(Risultati!C$17=$A6,INDEX(Regole!$D$2:$D$13,Risultati!C6),0)),"")</f>
        <v/>
      </c>
      <c r="D6" s="8" t="str">
        <f>IF(COUNT(Risultati!D$5:D$15)&gt;=5,IF(Risultati!D6="",0,5+INDEX(Regole!$D$2:$D$13,Risultati!D6)+IF(Risultati!D$17=$A6,INDEX(Regole!$D$2:$D$13,Risultati!D6),0)),"")</f>
        <v/>
      </c>
      <c r="E6" s="8" t="str">
        <f>IF(COUNT(Risultati!E$5:E$15)&gt;=5,IF(Risultati!E6="",0,5+INDEX(Regole!$D$2:$D$13,Risultati!E6)+IF(Risultati!E$17=$A6,INDEX(Regole!$D$2:$D$13,Risultati!E6),0)),"")</f>
        <v/>
      </c>
      <c r="F6" s="8" t="str">
        <f>IF(COUNT(Risultati!F$5:F$15)&gt;=5,IF(Risultati!F6="",0,5+INDEX(Regole!$D$2:$D$13,Risultati!F6)+IF(Risultati!F$17=$A6,INDEX(Regole!$D$2:$D$13,Risultati!F6),0)),"")</f>
        <v/>
      </c>
      <c r="G6" s="8" t="str">
        <f>IF(COUNT(Risultati!G$5:G$15)&gt;=5,IF(Risultati!G6="",0,5+INDEX(Regole!$D$2:$D$13,Risultati!G6)+IF(Risultati!G$17=$A6,INDEX(Regole!$D$2:$D$13,Risultati!G6),0)),"")</f>
        <v/>
      </c>
      <c r="H6" s="8" t="str">
        <f>IF(COUNT(Risultati!H$5:H$15)&gt;=5,IF(Risultati!H6="",0,5+INDEX(Regole!$D$2:$D$13,Risultati!H6)+IF(Risultati!H$17=$A6,INDEX(Regole!$D$2:$D$13,Risultati!H6),0)),"")</f>
        <v/>
      </c>
      <c r="I6" s="8" t="str">
        <f>IF(COUNT(Risultati!I$5:I$15)&gt;=5,IF(Risultati!I6="",0,5+INDEX(Regole!$D$2:$D$13,Risultati!I6)+IF(Risultati!I$17=$A6,INDEX(Regole!$D$2:$D$13,Risultati!I6),0)),"")</f>
        <v/>
      </c>
      <c r="J6" s="8" t="str">
        <f>IF(COUNT(Risultati!J$5:J$15)&gt;=5,IF(Risultati!J6="",0,5+INDEX(Regole!$D$2:$D$13,Risultati!J6)+IF(Risultati!J$17=$A6,INDEX(Regole!$D$2:$D$13,Risultati!J6),0)),"")</f>
        <v/>
      </c>
      <c r="K6" s="8" t="str">
        <f>IF(COUNT(Risultati!K$5:K$15)&gt;=5,IF(Risultati!K6="",0,5+INDEX(Regole!$D$2:$D$13,Risultati!K6)+IF(Risultati!K$17=$A6,INDEX(Regole!$D$2:$D$13,Risultati!K6),0)),"")</f>
        <v/>
      </c>
      <c r="L6" s="8" t="str">
        <f>IF(COUNT(Risultati!L$5:L$15)&gt;=5,IF(Risultati!L6="",0,5+INDEX(Regole!$D$2:$D$13,Risultati!L6)+IF(Risultati!L$17=$A6,INDEX(Regole!$D$2:$D$13,Risultati!L6),0)),"")</f>
        <v/>
      </c>
      <c r="M6" s="8" t="str">
        <f>IF(COUNT(Risultati!M$5:M$15)&gt;=5,IF(Risultati!M6="",0,5+INDEX(Regole!$D$2:$D$13,Risultati!M6)+IF(Risultati!M$17=$A6,INDEX(Regole!$D$2:$D$13,Risultati!M6),0)),"")</f>
        <v/>
      </c>
    </row>
    <row r="7" spans="1:13" x14ac:dyDescent="0.45">
      <c r="A7" s="3" t="s">
        <v>6</v>
      </c>
      <c r="B7" s="8">
        <f>IF(COUNT(Risultati!B$5:B$15)&gt;=5,IF(Risultati!B7="",0,5+INDEX(Regole!$D$2:$D$13,Risultati!B7)+IF(Risultati!B$17=$A7,INDEX(Regole!$D$2:$D$13,Risultati!B7),0)),"")</f>
        <v>30</v>
      </c>
      <c r="C7" s="8" t="str">
        <f>IF(COUNT(Risultati!C$5:C$15)&gt;=5,IF(Risultati!C7="",0,5+INDEX(Regole!$D$2:$D$13,Risultati!C7)+IF(Risultati!C$17=$A7,INDEX(Regole!$D$2:$D$13,Risultati!C7),0)),"")</f>
        <v/>
      </c>
      <c r="D7" s="8" t="str">
        <f>IF(COUNT(Risultati!D$5:D$15)&gt;=5,IF(Risultati!D7="",0,5+INDEX(Regole!$D$2:$D$13,Risultati!D7)+IF(Risultati!D$17=$A7,INDEX(Regole!$D$2:$D$13,Risultati!D7),0)),"")</f>
        <v/>
      </c>
      <c r="E7" s="8" t="str">
        <f>IF(COUNT(Risultati!E$5:E$15)&gt;=5,IF(Risultati!E7="",0,5+INDEX(Regole!$D$2:$D$13,Risultati!E7)+IF(Risultati!E$17=$A7,INDEX(Regole!$D$2:$D$13,Risultati!E7),0)),"")</f>
        <v/>
      </c>
      <c r="F7" s="8" t="str">
        <f>IF(COUNT(Risultati!F$5:F$15)&gt;=5,IF(Risultati!F7="",0,5+INDEX(Regole!$D$2:$D$13,Risultati!F7)+IF(Risultati!F$17=$A7,INDEX(Regole!$D$2:$D$13,Risultati!F7),0)),"")</f>
        <v/>
      </c>
      <c r="G7" s="8" t="str">
        <f>IF(COUNT(Risultati!G$5:G$15)&gt;=5,IF(Risultati!G7="",0,5+INDEX(Regole!$D$2:$D$13,Risultati!G7)+IF(Risultati!G$17=$A7,INDEX(Regole!$D$2:$D$13,Risultati!G7),0)),"")</f>
        <v/>
      </c>
      <c r="H7" s="8" t="str">
        <f>IF(COUNT(Risultati!H$5:H$15)&gt;=5,IF(Risultati!H7="",0,5+INDEX(Regole!$D$2:$D$13,Risultati!H7)+IF(Risultati!H$17=$A7,INDEX(Regole!$D$2:$D$13,Risultati!H7),0)),"")</f>
        <v/>
      </c>
      <c r="I7" s="8" t="str">
        <f>IF(COUNT(Risultati!I$5:I$15)&gt;=5,IF(Risultati!I7="",0,5+INDEX(Regole!$D$2:$D$13,Risultati!I7)+IF(Risultati!I$17=$A7,INDEX(Regole!$D$2:$D$13,Risultati!I7),0)),"")</f>
        <v/>
      </c>
      <c r="J7" s="8" t="str">
        <f>IF(COUNT(Risultati!J$5:J$15)&gt;=5,IF(Risultati!J7="",0,5+INDEX(Regole!$D$2:$D$13,Risultati!J7)+IF(Risultati!J$17=$A7,INDEX(Regole!$D$2:$D$13,Risultati!J7),0)),"")</f>
        <v/>
      </c>
      <c r="K7" s="8" t="str">
        <f>IF(COUNT(Risultati!K$5:K$15)&gt;=5,IF(Risultati!K7="",0,5+INDEX(Regole!$D$2:$D$13,Risultati!K7)+IF(Risultati!K$17=$A7,INDEX(Regole!$D$2:$D$13,Risultati!K7),0)),"")</f>
        <v/>
      </c>
      <c r="L7" s="8" t="str">
        <f>IF(COUNT(Risultati!L$5:L$15)&gt;=5,IF(Risultati!L7="",0,5+INDEX(Regole!$D$2:$D$13,Risultati!L7)+IF(Risultati!L$17=$A7,INDEX(Regole!$D$2:$D$13,Risultati!L7),0)),"")</f>
        <v/>
      </c>
      <c r="M7" s="8" t="str">
        <f>IF(COUNT(Risultati!M$5:M$15)&gt;=5,IF(Risultati!M7="",0,5+INDEX(Regole!$D$2:$D$13,Risultati!M7)+IF(Risultati!M$17=$A7,INDEX(Regole!$D$2:$D$13,Risultati!M7),0)),"")</f>
        <v/>
      </c>
    </row>
    <row r="8" spans="1:13" x14ac:dyDescent="0.45">
      <c r="A8" s="3" t="s">
        <v>7</v>
      </c>
      <c r="B8" s="8">
        <f>IF(COUNT(Risultati!B$5:B$15)&gt;=5,IF(Risultati!B8="",0,5+INDEX(Regole!$D$2:$D$13,Risultati!B8)+IF(Risultati!B$17=$A8,INDEX(Regole!$D$2:$D$13,Risultati!B8),0)),"")</f>
        <v>0</v>
      </c>
      <c r="C8" s="8" t="str">
        <f>IF(COUNT(Risultati!C$5:C$15)&gt;=5,IF(Risultati!C8="",0,5+INDEX(Regole!$D$2:$D$13,Risultati!C8)+IF(Risultati!C$17=$A8,INDEX(Regole!$D$2:$D$13,Risultati!C8),0)),"")</f>
        <v/>
      </c>
      <c r="D8" s="8" t="str">
        <f>IF(COUNT(Risultati!D$5:D$15)&gt;=5,IF(Risultati!D8="",0,5+INDEX(Regole!$D$2:$D$13,Risultati!D8)+IF(Risultati!D$17=$A8,INDEX(Regole!$D$2:$D$13,Risultati!D8),0)),"")</f>
        <v/>
      </c>
      <c r="E8" s="8" t="str">
        <f>IF(COUNT(Risultati!E$5:E$15)&gt;=5,IF(Risultati!E8="",0,5+INDEX(Regole!$D$2:$D$13,Risultati!E8)+IF(Risultati!E$17=$A8,INDEX(Regole!$D$2:$D$13,Risultati!E8),0)),"")</f>
        <v/>
      </c>
      <c r="F8" s="8" t="str">
        <f>IF(COUNT(Risultati!F$5:F$15)&gt;=5,IF(Risultati!F8="",0,5+INDEX(Regole!$D$2:$D$13,Risultati!F8)+IF(Risultati!F$17=$A8,INDEX(Regole!$D$2:$D$13,Risultati!F8),0)),"")</f>
        <v/>
      </c>
      <c r="G8" s="8" t="str">
        <f>IF(COUNT(Risultati!G$5:G$15)&gt;=5,IF(Risultati!G8="",0,5+INDEX(Regole!$D$2:$D$13,Risultati!G8)+IF(Risultati!G$17=$A8,INDEX(Regole!$D$2:$D$13,Risultati!G8),0)),"")</f>
        <v/>
      </c>
      <c r="H8" s="8" t="str">
        <f>IF(COUNT(Risultati!H$5:H$15)&gt;=5,IF(Risultati!H8="",0,5+INDEX(Regole!$D$2:$D$13,Risultati!H8)+IF(Risultati!H$17=$A8,INDEX(Regole!$D$2:$D$13,Risultati!H8),0)),"")</f>
        <v/>
      </c>
      <c r="I8" s="8" t="str">
        <f>IF(COUNT(Risultati!I$5:I$15)&gt;=5,IF(Risultati!I8="",0,5+INDEX(Regole!$D$2:$D$13,Risultati!I8)+IF(Risultati!I$17=$A8,INDEX(Regole!$D$2:$D$13,Risultati!I8),0)),"")</f>
        <v/>
      </c>
      <c r="J8" s="8" t="str">
        <f>IF(COUNT(Risultati!J$5:J$15)&gt;=5,IF(Risultati!J8="",0,5+INDEX(Regole!$D$2:$D$13,Risultati!J8)+IF(Risultati!J$17=$A8,INDEX(Regole!$D$2:$D$13,Risultati!J8),0)),"")</f>
        <v/>
      </c>
      <c r="K8" s="8" t="str">
        <f>IF(COUNT(Risultati!K$5:K$15)&gt;=5,IF(Risultati!K8="",0,5+INDEX(Regole!$D$2:$D$13,Risultati!K8)+IF(Risultati!K$17=$A8,INDEX(Regole!$D$2:$D$13,Risultati!K8),0)),"")</f>
        <v/>
      </c>
      <c r="L8" s="8" t="str">
        <f>IF(COUNT(Risultati!L$5:L$15)&gt;=5,IF(Risultati!L8="",0,5+INDEX(Regole!$D$2:$D$13,Risultati!L8)+IF(Risultati!L$17=$A8,INDEX(Regole!$D$2:$D$13,Risultati!L8),0)),"")</f>
        <v/>
      </c>
      <c r="M8" s="8" t="str">
        <f>IF(COUNT(Risultati!M$5:M$15)&gt;=5,IF(Risultati!M8="",0,5+INDEX(Regole!$D$2:$D$13,Risultati!M8)+IF(Risultati!M$17=$A8,INDEX(Regole!$D$2:$D$13,Risultati!M8),0)),"")</f>
        <v/>
      </c>
    </row>
    <row r="9" spans="1:13" x14ac:dyDescent="0.45">
      <c r="A9" s="3" t="s">
        <v>8</v>
      </c>
      <c r="B9" s="8">
        <f>IF(COUNT(Risultati!B$5:B$15)&gt;=5,IF(Risultati!B9="",0,5+INDEX(Regole!$D$2:$D$13,Risultati!B9)+IF(Risultati!B$17=$A9,INDEX(Regole!$D$2:$D$13,Risultati!B9),0)),"")</f>
        <v>13</v>
      </c>
      <c r="C9" s="8" t="str">
        <f>IF(COUNT(Risultati!C$5:C$15)&gt;=5,IF(Risultati!C9="",0,5+INDEX(Regole!$D$2:$D$13,Risultati!C9)+IF(Risultati!C$17=$A9,INDEX(Regole!$D$2:$D$13,Risultati!C9),0)),"")</f>
        <v/>
      </c>
      <c r="D9" s="8" t="str">
        <f>IF(COUNT(Risultati!D$5:D$15)&gt;=5,IF(Risultati!D9="",0,5+INDEX(Regole!$D$2:$D$13,Risultati!D9)+IF(Risultati!D$17=$A9,INDEX(Regole!$D$2:$D$13,Risultati!D9),0)),"")</f>
        <v/>
      </c>
      <c r="E9" s="8" t="str">
        <f>IF(COUNT(Risultati!E$5:E$15)&gt;=5,IF(Risultati!E9="",0,5+INDEX(Regole!$D$2:$D$13,Risultati!E9)+IF(Risultati!E$17=$A9,INDEX(Regole!$D$2:$D$13,Risultati!E9),0)),"")</f>
        <v/>
      </c>
      <c r="F9" s="8" t="str">
        <f>IF(COUNT(Risultati!F$5:F$15)&gt;=5,IF(Risultati!F9="",0,5+INDEX(Regole!$D$2:$D$13,Risultati!F9)+IF(Risultati!F$17=$A9,INDEX(Regole!$D$2:$D$13,Risultati!F9),0)),"")</f>
        <v/>
      </c>
      <c r="G9" s="8" t="str">
        <f>IF(COUNT(Risultati!G$5:G$15)&gt;=5,IF(Risultati!G9="",0,5+INDEX(Regole!$D$2:$D$13,Risultati!G9)+IF(Risultati!G$17=$A9,INDEX(Regole!$D$2:$D$13,Risultati!G9),0)),"")</f>
        <v/>
      </c>
      <c r="H9" s="8" t="str">
        <f>IF(COUNT(Risultati!H$5:H$15)&gt;=5,IF(Risultati!H9="",0,5+INDEX(Regole!$D$2:$D$13,Risultati!H9)+IF(Risultati!H$17=$A9,INDEX(Regole!$D$2:$D$13,Risultati!H9),0)),"")</f>
        <v/>
      </c>
      <c r="I9" s="8" t="str">
        <f>IF(COUNT(Risultati!I$5:I$15)&gt;=5,IF(Risultati!I9="",0,5+INDEX(Regole!$D$2:$D$13,Risultati!I9)+IF(Risultati!I$17=$A9,INDEX(Regole!$D$2:$D$13,Risultati!I9),0)),"")</f>
        <v/>
      </c>
      <c r="J9" s="8" t="str">
        <f>IF(COUNT(Risultati!J$5:J$15)&gt;=5,IF(Risultati!J9="",0,5+INDEX(Regole!$D$2:$D$13,Risultati!J9)+IF(Risultati!J$17=$A9,INDEX(Regole!$D$2:$D$13,Risultati!J9),0)),"")</f>
        <v/>
      </c>
      <c r="K9" s="8" t="str">
        <f>IF(COUNT(Risultati!K$5:K$15)&gt;=5,IF(Risultati!K9="",0,5+INDEX(Regole!$D$2:$D$13,Risultati!K9)+IF(Risultati!K$17=$A9,INDEX(Regole!$D$2:$D$13,Risultati!K9),0)),"")</f>
        <v/>
      </c>
      <c r="L9" s="8" t="str">
        <f>IF(COUNT(Risultati!L$5:L$15)&gt;=5,IF(Risultati!L9="",0,5+INDEX(Regole!$D$2:$D$13,Risultati!L9)+IF(Risultati!L$17=$A9,INDEX(Regole!$D$2:$D$13,Risultati!L9),0)),"")</f>
        <v/>
      </c>
      <c r="M9" s="8" t="str">
        <f>IF(COUNT(Risultati!M$5:M$15)&gt;=5,IF(Risultati!M9="",0,5+INDEX(Regole!$D$2:$D$13,Risultati!M9)+IF(Risultati!M$17=$A9,INDEX(Regole!$D$2:$D$13,Risultati!M9),0)),"")</f>
        <v/>
      </c>
    </row>
    <row r="10" spans="1:13" x14ac:dyDescent="0.45">
      <c r="A10" s="3" t="s">
        <v>9</v>
      </c>
      <c r="B10" s="8">
        <f>IF(COUNT(Risultati!B$5:B$15)&gt;=5,IF(Risultati!B10="",0,5+INDEX(Regole!$D$2:$D$13,Risultati!B10)+IF(Risultati!B$17=$A10,INDEX(Regole!$D$2:$D$13,Risultati!B10),0)),"")</f>
        <v>0</v>
      </c>
      <c r="C10" s="8" t="str">
        <f>IF(COUNT(Risultati!C$5:C$15)&gt;=5,IF(Risultati!C10="",0,5+INDEX(Regole!$D$2:$D$13,Risultati!C10)+IF(Risultati!C$17=$A10,INDEX(Regole!$D$2:$D$13,Risultati!C10),0)),"")</f>
        <v/>
      </c>
      <c r="D10" s="8" t="str">
        <f>IF(COUNT(Risultati!D$5:D$15)&gt;=5,IF(Risultati!D10="",0,5+INDEX(Regole!$D$2:$D$13,Risultati!D10)+IF(Risultati!D$17=$A10,INDEX(Regole!$D$2:$D$13,Risultati!D10),0)),"")</f>
        <v/>
      </c>
      <c r="E10" s="8" t="str">
        <f>IF(COUNT(Risultati!E$5:E$15)&gt;=5,IF(Risultati!E10="",0,5+INDEX(Regole!$D$2:$D$13,Risultati!E10)+IF(Risultati!E$17=$A10,INDEX(Regole!$D$2:$D$13,Risultati!E10),0)),"")</f>
        <v/>
      </c>
      <c r="F10" s="8" t="str">
        <f>IF(COUNT(Risultati!F$5:F$15)&gt;=5,IF(Risultati!F10="",0,5+INDEX(Regole!$D$2:$D$13,Risultati!F10)+IF(Risultati!F$17=$A10,INDEX(Regole!$D$2:$D$13,Risultati!F10),0)),"")</f>
        <v/>
      </c>
      <c r="G10" s="8" t="str">
        <f>IF(COUNT(Risultati!G$5:G$15)&gt;=5,IF(Risultati!G10="",0,5+INDEX(Regole!$D$2:$D$13,Risultati!G10)+IF(Risultati!G$17=$A10,INDEX(Regole!$D$2:$D$13,Risultati!G10),0)),"")</f>
        <v/>
      </c>
      <c r="H10" s="8" t="str">
        <f>IF(COUNT(Risultati!H$5:H$15)&gt;=5,IF(Risultati!H10="",0,5+INDEX(Regole!$D$2:$D$13,Risultati!H10)+IF(Risultati!H$17=$A10,INDEX(Regole!$D$2:$D$13,Risultati!H10),0)),"")</f>
        <v/>
      </c>
      <c r="I10" s="8" t="str">
        <f>IF(COUNT(Risultati!I$5:I$15)&gt;=5,IF(Risultati!I10="",0,5+INDEX(Regole!$D$2:$D$13,Risultati!I10)+IF(Risultati!I$17=$A10,INDEX(Regole!$D$2:$D$13,Risultati!I10),0)),"")</f>
        <v/>
      </c>
      <c r="J10" s="8" t="str">
        <f>IF(COUNT(Risultati!J$5:J$15)&gt;=5,IF(Risultati!J10="",0,5+INDEX(Regole!$D$2:$D$13,Risultati!J10)+IF(Risultati!J$17=$A10,INDEX(Regole!$D$2:$D$13,Risultati!J10),0)),"")</f>
        <v/>
      </c>
      <c r="K10" s="8" t="str">
        <f>IF(COUNT(Risultati!K$5:K$15)&gt;=5,IF(Risultati!K10="",0,5+INDEX(Regole!$D$2:$D$13,Risultati!K10)+IF(Risultati!K$17=$A10,INDEX(Regole!$D$2:$D$13,Risultati!K10),0)),"")</f>
        <v/>
      </c>
      <c r="L10" s="8" t="str">
        <f>IF(COUNT(Risultati!L$5:L$15)&gt;=5,IF(Risultati!L10="",0,5+INDEX(Regole!$D$2:$D$13,Risultati!L10)+IF(Risultati!L$17=$A10,INDEX(Regole!$D$2:$D$13,Risultati!L10),0)),"")</f>
        <v/>
      </c>
      <c r="M10" s="8" t="str">
        <f>IF(COUNT(Risultati!M$5:M$15)&gt;=5,IF(Risultati!M10="",0,5+INDEX(Regole!$D$2:$D$13,Risultati!M10)+IF(Risultati!M$17=$A10,INDEX(Regole!$D$2:$D$13,Risultati!M10),0)),"")</f>
        <v/>
      </c>
    </row>
    <row r="11" spans="1:13" x14ac:dyDescent="0.45">
      <c r="A11" s="3" t="s">
        <v>10</v>
      </c>
      <c r="B11" s="8">
        <f>IF(COUNT(Risultati!B$5:B$15)&gt;=5,IF(Risultati!B11="",0,5+INDEX(Regole!$D$2:$D$13,Risultati!B11)+IF(Risultati!B$17=$A11,INDEX(Regole!$D$2:$D$13,Risultati!B11),0)),"")</f>
        <v>23</v>
      </c>
      <c r="C11" s="8" t="str">
        <f>IF(COUNT(Risultati!C$5:C$15)&gt;=5,IF(Risultati!C11="",0,5+INDEX(Regole!$D$2:$D$13,Risultati!C11)+IF(Risultati!C$17=$A11,INDEX(Regole!$D$2:$D$13,Risultati!C11),0)),"")</f>
        <v/>
      </c>
      <c r="D11" s="8" t="str">
        <f>IF(COUNT(Risultati!D$5:D$15)&gt;=5,IF(Risultati!D11="",0,5+INDEX(Regole!$D$2:$D$13,Risultati!D11)+IF(Risultati!D$17=$A11,INDEX(Regole!$D$2:$D$13,Risultati!D11),0)),"")</f>
        <v/>
      </c>
      <c r="E11" s="8" t="str">
        <f>IF(COUNT(Risultati!E$5:E$15)&gt;=5,IF(Risultati!E11="",0,5+INDEX(Regole!$D$2:$D$13,Risultati!E11)+IF(Risultati!E$17=$A11,INDEX(Regole!$D$2:$D$13,Risultati!E11),0)),"")</f>
        <v/>
      </c>
      <c r="F11" s="8" t="str">
        <f>IF(COUNT(Risultati!F$5:F$15)&gt;=5,IF(Risultati!F11="",0,5+INDEX(Regole!$D$2:$D$13,Risultati!F11)+IF(Risultati!F$17=$A11,INDEX(Regole!$D$2:$D$13,Risultati!F11),0)),"")</f>
        <v/>
      </c>
      <c r="G11" s="8" t="str">
        <f>IF(COUNT(Risultati!G$5:G$15)&gt;=5,IF(Risultati!G11="",0,5+INDEX(Regole!$D$2:$D$13,Risultati!G11)+IF(Risultati!G$17=$A11,INDEX(Regole!$D$2:$D$13,Risultati!G11),0)),"")</f>
        <v/>
      </c>
      <c r="H11" s="8" t="str">
        <f>IF(COUNT(Risultati!H$5:H$15)&gt;=5,IF(Risultati!H11="",0,5+INDEX(Regole!$D$2:$D$13,Risultati!H11)+IF(Risultati!H$17=$A11,INDEX(Regole!$D$2:$D$13,Risultati!H11),0)),"")</f>
        <v/>
      </c>
      <c r="I11" s="8" t="str">
        <f>IF(COUNT(Risultati!I$5:I$15)&gt;=5,IF(Risultati!I11="",0,5+INDEX(Regole!$D$2:$D$13,Risultati!I11)+IF(Risultati!I$17=$A11,INDEX(Regole!$D$2:$D$13,Risultati!I11),0)),"")</f>
        <v/>
      </c>
      <c r="J11" s="8" t="str">
        <f>IF(COUNT(Risultati!J$5:J$15)&gt;=5,IF(Risultati!J11="",0,5+INDEX(Regole!$D$2:$D$13,Risultati!J11)+IF(Risultati!J$17=$A11,INDEX(Regole!$D$2:$D$13,Risultati!J11),0)),"")</f>
        <v/>
      </c>
      <c r="K11" s="8" t="str">
        <f>IF(COUNT(Risultati!K$5:K$15)&gt;=5,IF(Risultati!K11="",0,5+INDEX(Regole!$D$2:$D$13,Risultati!K11)+IF(Risultati!K$17=$A11,INDEX(Regole!$D$2:$D$13,Risultati!K11),0)),"")</f>
        <v/>
      </c>
      <c r="L11" s="8" t="str">
        <f>IF(COUNT(Risultati!L$5:L$15)&gt;=5,IF(Risultati!L11="",0,5+INDEX(Regole!$D$2:$D$13,Risultati!L11)+IF(Risultati!L$17=$A11,INDEX(Regole!$D$2:$D$13,Risultati!L11),0)),"")</f>
        <v/>
      </c>
      <c r="M11" s="8" t="str">
        <f>IF(COUNT(Risultati!M$5:M$15)&gt;=5,IF(Risultati!M11="",0,5+INDEX(Regole!$D$2:$D$13,Risultati!M11)+IF(Risultati!M$17=$A11,INDEX(Regole!$D$2:$D$13,Risultati!M11),0)),"")</f>
        <v/>
      </c>
    </row>
    <row r="12" spans="1:13" x14ac:dyDescent="0.45">
      <c r="A12" s="3" t="s">
        <v>11</v>
      </c>
      <c r="B12" s="8">
        <f>IF(COUNT(Risultati!B$5:B$15)&gt;=5,IF(Risultati!B12="",0,5+INDEX(Regole!$D$2:$D$13,Risultati!B12)+IF(Risultati!B$17=$A12,INDEX(Regole!$D$2:$D$13,Risultati!B12),0)),"")</f>
        <v>11</v>
      </c>
      <c r="C12" s="8" t="str">
        <f>IF(COUNT(Risultati!C$5:C$15)&gt;=5,IF(Risultati!C12="",0,5+INDEX(Regole!$D$2:$D$13,Risultati!C12)+IF(Risultati!C$17=$A12,INDEX(Regole!$D$2:$D$13,Risultati!C12),0)),"")</f>
        <v/>
      </c>
      <c r="D12" s="8" t="str">
        <f>IF(COUNT(Risultati!D$5:D$15)&gt;=5,IF(Risultati!D12="",0,5+INDEX(Regole!$D$2:$D$13,Risultati!D12)+IF(Risultati!D$17=$A12,INDEX(Regole!$D$2:$D$13,Risultati!D12),0)),"")</f>
        <v/>
      </c>
      <c r="E12" s="8" t="str">
        <f>IF(COUNT(Risultati!E$5:E$15)&gt;=5,IF(Risultati!E12="",0,5+INDEX(Regole!$D$2:$D$13,Risultati!E12)+IF(Risultati!E$17=$A12,INDEX(Regole!$D$2:$D$13,Risultati!E12),0)),"")</f>
        <v/>
      </c>
      <c r="F12" s="8" t="str">
        <f>IF(COUNT(Risultati!F$5:F$15)&gt;=5,IF(Risultati!F12="",0,5+INDEX(Regole!$D$2:$D$13,Risultati!F12)+IF(Risultati!F$17=$A12,INDEX(Regole!$D$2:$D$13,Risultati!F12),0)),"")</f>
        <v/>
      </c>
      <c r="G12" s="8" t="str">
        <f>IF(COUNT(Risultati!G$5:G$15)&gt;=5,IF(Risultati!G12="",0,5+INDEX(Regole!$D$2:$D$13,Risultati!G12)+IF(Risultati!G$17=$A12,INDEX(Regole!$D$2:$D$13,Risultati!G12),0)),"")</f>
        <v/>
      </c>
      <c r="H12" s="8" t="str">
        <f>IF(COUNT(Risultati!H$5:H$15)&gt;=5,IF(Risultati!H12="",0,5+INDEX(Regole!$D$2:$D$13,Risultati!H12)+IF(Risultati!H$17=$A12,INDEX(Regole!$D$2:$D$13,Risultati!H12),0)),"")</f>
        <v/>
      </c>
      <c r="I12" s="8" t="str">
        <f>IF(COUNT(Risultati!I$5:I$15)&gt;=5,IF(Risultati!I12="",0,5+INDEX(Regole!$D$2:$D$13,Risultati!I12)+IF(Risultati!I$17=$A12,INDEX(Regole!$D$2:$D$13,Risultati!I12),0)),"")</f>
        <v/>
      </c>
      <c r="J12" s="8" t="str">
        <f>IF(COUNT(Risultati!J$5:J$15)&gt;=5,IF(Risultati!J12="",0,5+INDEX(Regole!$D$2:$D$13,Risultati!J12)+IF(Risultati!J$17=$A12,INDEX(Regole!$D$2:$D$13,Risultati!J12),0)),"")</f>
        <v/>
      </c>
      <c r="K12" s="8" t="str">
        <f>IF(COUNT(Risultati!K$5:K$15)&gt;=5,IF(Risultati!K12="",0,5+INDEX(Regole!$D$2:$D$13,Risultati!K12)+IF(Risultati!K$17=$A12,INDEX(Regole!$D$2:$D$13,Risultati!K12),0)),"")</f>
        <v/>
      </c>
      <c r="L12" s="8" t="str">
        <f>IF(COUNT(Risultati!L$5:L$15)&gt;=5,IF(Risultati!L12="",0,5+INDEX(Regole!$D$2:$D$13,Risultati!L12)+IF(Risultati!L$17=$A12,INDEX(Regole!$D$2:$D$13,Risultati!L12),0)),"")</f>
        <v/>
      </c>
      <c r="M12" s="8" t="str">
        <f>IF(COUNT(Risultati!M$5:M$15)&gt;=5,IF(Risultati!M12="",0,5+INDEX(Regole!$D$2:$D$13,Risultati!M12)+IF(Risultati!M$17=$A12,INDEX(Regole!$D$2:$D$13,Risultati!M12),0)),"")</f>
        <v/>
      </c>
    </row>
    <row r="13" spans="1:13" x14ac:dyDescent="0.45">
      <c r="A13" s="3" t="s">
        <v>12</v>
      </c>
      <c r="B13" s="8">
        <f>IF(COUNT(Risultati!B$5:B$15)&gt;=5,IF(Risultati!B13="",0,5+INDEX(Regole!$D$2:$D$13,Risultati!B13)+IF(Risultati!B$17=$A13,INDEX(Regole!$D$2:$D$13,Risultati!B13),0)),"")</f>
        <v>20</v>
      </c>
      <c r="C13" s="8" t="str">
        <f>IF(COUNT(Risultati!C$5:C$15)&gt;=5,IF(Risultati!C13="",0,5+INDEX(Regole!$D$2:$D$13,Risultati!C13)+IF(Risultati!C$17=$A13,INDEX(Regole!$D$2:$D$13,Risultati!C13),0)),"")</f>
        <v/>
      </c>
      <c r="D13" s="8" t="str">
        <f>IF(COUNT(Risultati!D$5:D$15)&gt;=5,IF(Risultati!D13="",0,5+INDEX(Regole!$D$2:$D$13,Risultati!D13)+IF(Risultati!D$17=$A13,INDEX(Regole!$D$2:$D$13,Risultati!D13),0)),"")</f>
        <v/>
      </c>
      <c r="E13" s="8" t="str">
        <f>IF(COUNT(Risultati!E$5:E$15)&gt;=5,IF(Risultati!E13="",0,5+INDEX(Regole!$D$2:$D$13,Risultati!E13)+IF(Risultati!E$17=$A13,INDEX(Regole!$D$2:$D$13,Risultati!E13),0)),"")</f>
        <v/>
      </c>
      <c r="F13" s="8" t="str">
        <f>IF(COUNT(Risultati!F$5:F$15)&gt;=5,IF(Risultati!F13="",0,5+INDEX(Regole!$D$2:$D$13,Risultati!F13)+IF(Risultati!F$17=$A13,INDEX(Regole!$D$2:$D$13,Risultati!F13),0)),"")</f>
        <v/>
      </c>
      <c r="G13" s="8" t="str">
        <f>IF(COUNT(Risultati!G$5:G$15)&gt;=5,IF(Risultati!G13="",0,5+INDEX(Regole!$D$2:$D$13,Risultati!G13)+IF(Risultati!G$17=$A13,INDEX(Regole!$D$2:$D$13,Risultati!G13),0)),"")</f>
        <v/>
      </c>
      <c r="H13" s="8" t="str">
        <f>IF(COUNT(Risultati!H$5:H$15)&gt;=5,IF(Risultati!H13="",0,5+INDEX(Regole!$D$2:$D$13,Risultati!H13)+IF(Risultati!H$17=$A13,INDEX(Regole!$D$2:$D$13,Risultati!H13),0)),"")</f>
        <v/>
      </c>
      <c r="I13" s="8" t="str">
        <f>IF(COUNT(Risultati!I$5:I$15)&gt;=5,IF(Risultati!I13="",0,5+INDEX(Regole!$D$2:$D$13,Risultati!I13)+IF(Risultati!I$17=$A13,INDEX(Regole!$D$2:$D$13,Risultati!I13),0)),"")</f>
        <v/>
      </c>
      <c r="J13" s="8" t="str">
        <f>IF(COUNT(Risultati!J$5:J$15)&gt;=5,IF(Risultati!J13="",0,5+INDEX(Regole!$D$2:$D$13,Risultati!J13)+IF(Risultati!J$17=$A13,INDEX(Regole!$D$2:$D$13,Risultati!J13),0)),"")</f>
        <v/>
      </c>
      <c r="K13" s="8" t="str">
        <f>IF(COUNT(Risultati!K$5:K$15)&gt;=5,IF(Risultati!K13="",0,5+INDEX(Regole!$D$2:$D$13,Risultati!K13)+IF(Risultati!K$17=$A13,INDEX(Regole!$D$2:$D$13,Risultati!K13),0)),"")</f>
        <v/>
      </c>
      <c r="L13" s="8" t="str">
        <f>IF(COUNT(Risultati!L$5:L$15)&gt;=5,IF(Risultati!L13="",0,5+INDEX(Regole!$D$2:$D$13,Risultati!L13)+IF(Risultati!L$17=$A13,INDEX(Regole!$D$2:$D$13,Risultati!L13),0)),"")</f>
        <v/>
      </c>
      <c r="M13" s="8" t="str">
        <f>IF(COUNT(Risultati!M$5:M$15)&gt;=5,IF(Risultati!M13="",0,5+INDEX(Regole!$D$2:$D$13,Risultati!M13)+IF(Risultati!M$17=$A13,INDEX(Regole!$D$2:$D$13,Risultati!M13),0)),"")</f>
        <v/>
      </c>
    </row>
    <row r="14" spans="1:13" x14ac:dyDescent="0.45">
      <c r="A14" s="3" t="s">
        <v>13</v>
      </c>
      <c r="B14" s="8">
        <f>IF(COUNT(Risultati!B$5:B$15)&gt;=5,IF(Risultati!B14="",0,5+INDEX(Regole!$D$2:$D$13,Risultati!B14)+IF(Risultati!B$17=$A14,INDEX(Regole!$D$2:$D$13,Risultati!B14),0)),"")</f>
        <v>0</v>
      </c>
      <c r="C14" s="8" t="str">
        <f>IF(COUNT(Risultati!C$5:C$15)&gt;=5,IF(Risultati!C14="",0,5+INDEX(Regole!$D$2:$D$13,Risultati!C14)+IF(Risultati!C$17=$A14,INDEX(Regole!$D$2:$D$13,Risultati!C14),0)),"")</f>
        <v/>
      </c>
      <c r="D14" s="8" t="str">
        <f>IF(COUNT(Risultati!D$5:D$15)&gt;=5,IF(Risultati!D14="",0,5+INDEX(Regole!$D$2:$D$13,Risultati!D14)+IF(Risultati!D$17=$A14,INDEX(Regole!$D$2:$D$13,Risultati!D14),0)),"")</f>
        <v/>
      </c>
      <c r="E14" s="8" t="str">
        <f>IF(COUNT(Risultati!E$5:E$15)&gt;=5,IF(Risultati!E14="",0,5+INDEX(Regole!$D$2:$D$13,Risultati!E14)+IF(Risultati!E$17=$A14,INDEX(Regole!$D$2:$D$13,Risultati!E14),0)),"")</f>
        <v/>
      </c>
      <c r="F14" s="8" t="str">
        <f>IF(COUNT(Risultati!F$5:F$15)&gt;=5,IF(Risultati!F14="",0,5+INDEX(Regole!$D$2:$D$13,Risultati!F14)+IF(Risultati!F$17=$A14,INDEX(Regole!$D$2:$D$13,Risultati!F14),0)),"")</f>
        <v/>
      </c>
      <c r="G14" s="8" t="str">
        <f>IF(COUNT(Risultati!G$5:G$15)&gt;=5,IF(Risultati!G14="",0,5+INDEX(Regole!$D$2:$D$13,Risultati!G14)+IF(Risultati!G$17=$A14,INDEX(Regole!$D$2:$D$13,Risultati!G14),0)),"")</f>
        <v/>
      </c>
      <c r="H14" s="8" t="str">
        <f>IF(COUNT(Risultati!H$5:H$15)&gt;=5,IF(Risultati!H14="",0,5+INDEX(Regole!$D$2:$D$13,Risultati!H14)+IF(Risultati!H$17=$A14,INDEX(Regole!$D$2:$D$13,Risultati!H14),0)),"")</f>
        <v/>
      </c>
      <c r="I14" s="8" t="str">
        <f>IF(COUNT(Risultati!I$5:I$15)&gt;=5,IF(Risultati!I14="",0,5+INDEX(Regole!$D$2:$D$13,Risultati!I14)+IF(Risultati!I$17=$A14,INDEX(Regole!$D$2:$D$13,Risultati!I14),0)),"")</f>
        <v/>
      </c>
      <c r="J14" s="8" t="str">
        <f>IF(COUNT(Risultati!J$5:J$15)&gt;=5,IF(Risultati!J14="",0,5+INDEX(Regole!$D$2:$D$13,Risultati!J14)+IF(Risultati!J$17=$A14,INDEX(Regole!$D$2:$D$13,Risultati!J14),0)),"")</f>
        <v/>
      </c>
      <c r="K14" s="8" t="str">
        <f>IF(COUNT(Risultati!K$5:K$15)&gt;=5,IF(Risultati!K14="",0,5+INDEX(Regole!$D$2:$D$13,Risultati!K14)+IF(Risultati!K$17=$A14,INDEX(Regole!$D$2:$D$13,Risultati!K14),0)),"")</f>
        <v/>
      </c>
      <c r="L14" s="8" t="str">
        <f>IF(COUNT(Risultati!L$5:L$15)&gt;=5,IF(Risultati!L14="",0,5+INDEX(Regole!$D$2:$D$13,Risultati!L14)+IF(Risultati!L$17=$A14,INDEX(Regole!$D$2:$D$13,Risultati!L14),0)),"")</f>
        <v/>
      </c>
      <c r="M14" s="8" t="str">
        <f>IF(COUNT(Risultati!M$5:M$15)&gt;=5,IF(Risultati!M14="",0,5+INDEX(Regole!$D$2:$D$13,Risultati!M14)+IF(Risultati!M$17=$A14,INDEX(Regole!$D$2:$D$13,Risultati!M14),0)),"")</f>
        <v/>
      </c>
    </row>
    <row r="15" spans="1:13" x14ac:dyDescent="0.45">
      <c r="A15" s="3" t="s">
        <v>14</v>
      </c>
      <c r="B15" s="8">
        <f>IF(COUNT(Risultati!B$5:B$15)&gt;=5,IF(Risultati!B15="",0,5+INDEX(Regole!$D$2:$D$13,Risultati!B15)+IF(Risultati!B$17=$A15,INDEX(Regole!$D$2:$D$13,Risultati!B15),0)),"")</f>
        <v>0</v>
      </c>
      <c r="C15" s="8" t="str">
        <f>IF(COUNT(Risultati!C$5:C$15)&gt;=5,IF(Risultati!C15="",0,5+INDEX(Regole!$D$2:$D$13,Risultati!C15)+IF(Risultati!C$17=$A15,INDEX(Regole!$D$2:$D$13,Risultati!C15),0)),"")</f>
        <v/>
      </c>
      <c r="D15" s="8" t="str">
        <f>IF(COUNT(Risultati!D$5:D$15)&gt;=5,IF(Risultati!D15="",0,5+INDEX(Regole!$D$2:$D$13,Risultati!D15)+IF(Risultati!D$17=$A15,INDEX(Regole!$D$2:$D$13,Risultati!D15),0)),"")</f>
        <v/>
      </c>
      <c r="E15" s="8" t="str">
        <f>IF(COUNT(Risultati!E$5:E$15)&gt;=5,IF(Risultati!E15="",0,5+INDEX(Regole!$D$2:$D$13,Risultati!E15)+IF(Risultati!E$17=$A15,INDEX(Regole!$D$2:$D$13,Risultati!E15),0)),"")</f>
        <v/>
      </c>
      <c r="F15" s="8" t="str">
        <f>IF(COUNT(Risultati!F$5:F$15)&gt;=5,IF(Risultati!F15="",0,5+INDEX(Regole!$D$2:$D$13,Risultati!F15)+IF(Risultati!F$17=$A15,INDEX(Regole!$D$2:$D$13,Risultati!F15),0)),"")</f>
        <v/>
      </c>
      <c r="G15" s="8" t="str">
        <f>IF(COUNT(Risultati!G$5:G$15)&gt;=5,IF(Risultati!G15="",0,5+INDEX(Regole!$D$2:$D$13,Risultati!G15)+IF(Risultati!G$17=$A15,INDEX(Regole!$D$2:$D$13,Risultati!G15),0)),"")</f>
        <v/>
      </c>
      <c r="H15" s="8" t="str">
        <f>IF(COUNT(Risultati!H$5:H$15)&gt;=5,IF(Risultati!H15="",0,5+INDEX(Regole!$D$2:$D$13,Risultati!H15)+IF(Risultati!H$17=$A15,INDEX(Regole!$D$2:$D$13,Risultati!H15),0)),"")</f>
        <v/>
      </c>
      <c r="I15" s="8" t="str">
        <f>IF(COUNT(Risultati!I$5:I$15)&gt;=5,IF(Risultati!I15="",0,5+INDEX(Regole!$D$2:$D$13,Risultati!I15)+IF(Risultati!I$17=$A15,INDEX(Regole!$D$2:$D$13,Risultati!I15),0)),"")</f>
        <v/>
      </c>
      <c r="J15" s="8" t="str">
        <f>IF(COUNT(Risultati!J$5:J$15)&gt;=5,IF(Risultati!J15="",0,5+INDEX(Regole!$D$2:$D$13,Risultati!J15)+IF(Risultati!J$17=$A15,INDEX(Regole!$D$2:$D$13,Risultati!J15),0)),"")</f>
        <v/>
      </c>
      <c r="K15" s="8" t="str">
        <f>IF(COUNT(Risultati!K$5:K$15)&gt;=5,IF(Risultati!K15="",0,5+INDEX(Regole!$D$2:$D$13,Risultati!K15)+IF(Risultati!K$17=$A15,INDEX(Regole!$D$2:$D$13,Risultati!K15),0)),"")</f>
        <v/>
      </c>
      <c r="L15" s="8" t="str">
        <f>IF(COUNT(Risultati!L$5:L$15)&gt;=5,IF(Risultati!L15="",0,5+INDEX(Regole!$D$2:$D$13,Risultati!L15)+IF(Risultati!L$17=$A15,INDEX(Regole!$D$2:$D$13,Risultati!L15),0)),"")</f>
        <v/>
      </c>
      <c r="M15" s="8" t="str">
        <f>IF(COUNT(Risultati!M$5:M$15)&gt;=5,IF(Risultati!M15="",0,5+INDEX(Regole!$D$2:$D$13,Risultati!M15)+IF(Risultati!M$17=$A15,INDEX(Regole!$D$2:$D$13,Risultati!M15),0)),"")</f>
        <v/>
      </c>
    </row>
  </sheetData>
  <mergeCells count="2">
    <mergeCell ref="A1:M1"/>
    <mergeCell ref="A2:M2"/>
  </mergeCells>
  <pageMargins left="0.25" right="0.25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workbookViewId="0"/>
  </sheetViews>
  <sheetFormatPr defaultRowHeight="14.25" x14ac:dyDescent="0.45"/>
  <cols>
    <col min="1" max="1" width="22" customWidth="1"/>
    <col min="2" max="2" width="3" customWidth="1"/>
    <col min="3" max="3" width="18" customWidth="1"/>
    <col min="4" max="4" width="14" customWidth="1"/>
    <col min="5" max="5" width="3" customWidth="1"/>
    <col min="6" max="6" width="67" customWidth="1"/>
  </cols>
  <sheetData>
    <row r="1" spans="1:6" x14ac:dyDescent="0.45">
      <c r="A1" s="1" t="s">
        <v>30</v>
      </c>
      <c r="C1" s="1" t="s">
        <v>31</v>
      </c>
      <c r="D1" s="1" t="s">
        <v>32</v>
      </c>
      <c r="F1" s="1" t="s">
        <v>33</v>
      </c>
    </row>
    <row r="2" spans="1:6" x14ac:dyDescent="0.45">
      <c r="A2" s="3" t="s">
        <v>3</v>
      </c>
      <c r="C2" s="8">
        <v>1</v>
      </c>
      <c r="D2" s="8">
        <v>25</v>
      </c>
      <c r="F2" s="10" t="s">
        <v>34</v>
      </c>
    </row>
    <row r="3" spans="1:6" x14ac:dyDescent="0.45">
      <c r="A3" s="3" t="s">
        <v>5</v>
      </c>
      <c r="C3" s="8">
        <v>2</v>
      </c>
      <c r="D3" s="8">
        <v>18</v>
      </c>
      <c r="F3" s="10" t="s">
        <v>35</v>
      </c>
    </row>
    <row r="4" spans="1:6" x14ac:dyDescent="0.45">
      <c r="A4" s="3" t="s">
        <v>6</v>
      </c>
      <c r="C4" s="8">
        <v>3</v>
      </c>
      <c r="D4" s="8">
        <v>15</v>
      </c>
      <c r="F4" s="10" t="s">
        <v>36</v>
      </c>
    </row>
    <row r="5" spans="1:6" x14ac:dyDescent="0.45">
      <c r="A5" s="3" t="s">
        <v>7</v>
      </c>
      <c r="C5" s="8">
        <v>4</v>
      </c>
      <c r="D5" s="8">
        <v>12</v>
      </c>
      <c r="F5" s="10" t="s">
        <v>37</v>
      </c>
    </row>
    <row r="6" spans="1:6" x14ac:dyDescent="0.45">
      <c r="A6" s="3" t="s">
        <v>8</v>
      </c>
      <c r="C6" s="8">
        <v>5</v>
      </c>
      <c r="D6" s="8">
        <v>10</v>
      </c>
      <c r="F6" s="10" t="s">
        <v>38</v>
      </c>
    </row>
    <row r="7" spans="1:6" x14ac:dyDescent="0.45">
      <c r="A7" s="3" t="s">
        <v>9</v>
      </c>
      <c r="C7" s="8">
        <v>6</v>
      </c>
      <c r="D7" s="8">
        <v>8</v>
      </c>
      <c r="F7" s="10" t="s">
        <v>39</v>
      </c>
    </row>
    <row r="8" spans="1:6" x14ac:dyDescent="0.45">
      <c r="A8" s="3" t="s">
        <v>10</v>
      </c>
      <c r="C8" s="8">
        <v>7</v>
      </c>
      <c r="D8" s="8">
        <v>6</v>
      </c>
      <c r="F8" s="10" t="s">
        <v>40</v>
      </c>
    </row>
    <row r="9" spans="1:6" x14ac:dyDescent="0.45">
      <c r="A9" s="3" t="s">
        <v>11</v>
      </c>
      <c r="C9" s="8">
        <v>8</v>
      </c>
      <c r="D9" s="8">
        <v>4</v>
      </c>
      <c r="F9" s="10" t="s">
        <v>41</v>
      </c>
    </row>
    <row r="10" spans="1:6" x14ac:dyDescent="0.45">
      <c r="A10" s="3" t="s">
        <v>12</v>
      </c>
      <c r="C10" s="8">
        <v>9</v>
      </c>
      <c r="D10" s="8">
        <v>2</v>
      </c>
    </row>
    <row r="11" spans="1:6" x14ac:dyDescent="0.45">
      <c r="A11" s="3" t="s">
        <v>13</v>
      </c>
      <c r="C11" s="8">
        <v>10</v>
      </c>
      <c r="D11" s="8">
        <v>1</v>
      </c>
    </row>
    <row r="12" spans="1:6" x14ac:dyDescent="0.45">
      <c r="A12" s="3" t="s">
        <v>14</v>
      </c>
      <c r="C12" s="8">
        <v>11</v>
      </c>
      <c r="D12" s="8">
        <v>0</v>
      </c>
    </row>
    <row r="13" spans="1:6" x14ac:dyDescent="0.45">
      <c r="C13" s="8">
        <v>12</v>
      </c>
      <c r="D13" s="8">
        <v>0</v>
      </c>
    </row>
    <row r="14" spans="1:6" x14ac:dyDescent="0.45">
      <c r="F14" s="10" t="s">
        <v>42</v>
      </c>
    </row>
  </sheetData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Risultati</vt:lpstr>
      <vt:lpstr>Classifica</vt:lpstr>
      <vt:lpstr>Dettaglio</vt:lpstr>
      <vt:lpstr>Regole</vt:lpstr>
      <vt:lpstr>ElencoGiocatori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Pisati</dc:creator>
  <cp:lastModifiedBy>Giovanni Pisati</cp:lastModifiedBy>
  <dcterms:created xsi:type="dcterms:W3CDTF">2026-10-29T18:42:40Z</dcterms:created>
  <dcterms:modified xsi:type="dcterms:W3CDTF">2026-10-29T22:59:59Z</dcterms:modified>
</cp:coreProperties>
</file>