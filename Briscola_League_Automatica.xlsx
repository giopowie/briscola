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" sheetId="1" state="visible" r:id="rId1"/>
    <sheet xmlns:r="http://schemas.openxmlformats.org/officeDocument/2006/relationships" name="Risultati" sheetId="2" state="visible" r:id="rId2"/>
    <sheet xmlns:r="http://schemas.openxmlformats.org/officeDocument/2006/relationships" name="Dettaglio" sheetId="3" state="visible" r:id="rId3"/>
    <sheet xmlns:r="http://schemas.openxmlformats.org/officeDocument/2006/relationships" name="Rego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TORNEO BRISCOLA IN CINQUE 2026-2027</t>
        </is>
      </c>
    </row>
    <row r="3">
      <c r="A3" t="inlineStr">
        <is>
          <t>Giocatore</t>
        </is>
      </c>
      <c r="B3" t="inlineStr">
        <is>
          <t>Presenze</t>
        </is>
      </c>
      <c r="C3" t="inlineStr">
        <is>
          <t>Vittorie</t>
        </is>
      </c>
      <c r="D3" t="inlineStr">
        <is>
          <t>Secondi</t>
        </is>
      </c>
      <c r="E3" t="inlineStr">
        <is>
          <t>Terzi</t>
        </is>
      </c>
      <c r="F3" t="inlineStr">
        <is>
          <t>Punti Lordi</t>
        </is>
      </c>
      <c r="G3" t="inlineStr">
        <is>
          <t>Scarto1</t>
        </is>
      </c>
      <c r="H3" t="inlineStr">
        <is>
          <t>Scarto2</t>
        </is>
      </c>
      <c r="I3" t="inlineStr">
        <is>
          <t>Punti Netti</t>
        </is>
      </c>
    </row>
    <row r="4">
      <c r="A4" t="inlineStr">
        <is>
          <t>Fanfo</t>
        </is>
      </c>
      <c r="B4">
        <f>COUNTIF(Risultati!C$2:M$13,A4)</f>
        <v/>
      </c>
      <c r="C4">
        <f>COUNTIF(Risultati!C$2:C$13,A4)</f>
        <v/>
      </c>
      <c r="D4">
        <f>COUNTIF(Risultati!D$2:D$13,A4)</f>
        <v/>
      </c>
      <c r="E4">
        <f>COUNTIF(Risultati!E$2:E$13,A4)</f>
        <v/>
      </c>
      <c r="F4">
        <f>SUM(Dettaglio!N4:Y4)</f>
        <v/>
      </c>
      <c r="G4">
        <f>Dettaglio!G4</f>
        <v/>
      </c>
      <c r="H4">
        <f>Dettaglio!H4</f>
        <v/>
      </c>
      <c r="I4">
        <f>F4-G4-H4</f>
        <v/>
      </c>
    </row>
    <row r="5">
      <c r="A5" t="inlineStr">
        <is>
          <t>Generale</t>
        </is>
      </c>
      <c r="B5">
        <f>COUNTIF(Risultati!C$2:M$13,A5)</f>
        <v/>
      </c>
      <c r="C5">
        <f>COUNTIF(Risultati!C$2:C$13,A5)</f>
        <v/>
      </c>
      <c r="D5">
        <f>COUNTIF(Risultati!D$2:D$13,A5)</f>
        <v/>
      </c>
      <c r="E5">
        <f>COUNTIF(Risultati!E$2:E$13,A5)</f>
        <v/>
      </c>
      <c r="F5">
        <f>SUM(Dettaglio!N5:Y5)</f>
        <v/>
      </c>
      <c r="G5">
        <f>Dettaglio!G5</f>
        <v/>
      </c>
      <c r="H5">
        <f>Dettaglio!H5</f>
        <v/>
      </c>
      <c r="I5">
        <f>F5-G5-H5</f>
        <v/>
      </c>
    </row>
    <row r="6">
      <c r="A6" t="inlineStr">
        <is>
          <t>Giopowie</t>
        </is>
      </c>
      <c r="B6">
        <f>COUNTIF(Risultati!C$2:M$13,A6)</f>
        <v/>
      </c>
      <c r="C6">
        <f>COUNTIF(Risultati!C$2:C$13,A6)</f>
        <v/>
      </c>
      <c r="D6">
        <f>COUNTIF(Risultati!D$2:D$13,A6)</f>
        <v/>
      </c>
      <c r="E6">
        <f>COUNTIF(Risultati!E$2:E$13,A6)</f>
        <v/>
      </c>
      <c r="F6">
        <f>SUM(Dettaglio!N6:Y6)</f>
        <v/>
      </c>
      <c r="G6">
        <f>Dettaglio!G6</f>
        <v/>
      </c>
      <c r="H6">
        <f>Dettaglio!H6</f>
        <v/>
      </c>
      <c r="I6">
        <f>F6-G6-H6</f>
        <v/>
      </c>
    </row>
    <row r="7">
      <c r="A7" t="inlineStr">
        <is>
          <t>Lorenzo</t>
        </is>
      </c>
      <c r="B7">
        <f>COUNTIF(Risultati!C$2:M$13,A7)</f>
        <v/>
      </c>
      <c r="C7">
        <f>COUNTIF(Risultati!C$2:C$13,A7)</f>
        <v/>
      </c>
      <c r="D7">
        <f>COUNTIF(Risultati!D$2:D$13,A7)</f>
        <v/>
      </c>
      <c r="E7">
        <f>COUNTIF(Risultati!E$2:E$13,A7)</f>
        <v/>
      </c>
      <c r="F7">
        <f>SUM(Dettaglio!N7:Y7)</f>
        <v/>
      </c>
      <c r="G7">
        <f>Dettaglio!G7</f>
        <v/>
      </c>
      <c r="H7">
        <f>Dettaglio!H7</f>
        <v/>
      </c>
      <c r="I7">
        <f>F7-G7-H7</f>
        <v/>
      </c>
    </row>
    <row r="8">
      <c r="A8" t="inlineStr">
        <is>
          <t>Maldo</t>
        </is>
      </c>
      <c r="B8">
        <f>COUNTIF(Risultati!C$2:M$13,A8)</f>
        <v/>
      </c>
      <c r="C8">
        <f>COUNTIF(Risultati!C$2:C$13,A8)</f>
        <v/>
      </c>
      <c r="D8">
        <f>COUNTIF(Risultati!D$2:D$13,A8)</f>
        <v/>
      </c>
      <c r="E8">
        <f>COUNTIF(Risultati!E$2:E$13,A8)</f>
        <v/>
      </c>
      <c r="F8">
        <f>SUM(Dettaglio!N8:Y8)</f>
        <v/>
      </c>
      <c r="G8">
        <f>Dettaglio!G8</f>
        <v/>
      </c>
      <c r="H8">
        <f>Dettaglio!H8</f>
        <v/>
      </c>
      <c r="I8">
        <f>F8-G8-H8</f>
        <v/>
      </c>
    </row>
    <row r="9">
      <c r="A9" t="inlineStr">
        <is>
          <t>Muso</t>
        </is>
      </c>
      <c r="B9">
        <f>COUNTIF(Risultati!C$2:M$13,A9)</f>
        <v/>
      </c>
      <c r="C9">
        <f>COUNTIF(Risultati!C$2:C$13,A9)</f>
        <v/>
      </c>
      <c r="D9">
        <f>COUNTIF(Risultati!D$2:D$13,A9)</f>
        <v/>
      </c>
      <c r="E9">
        <f>COUNTIF(Risultati!E$2:E$13,A9)</f>
        <v/>
      </c>
      <c r="F9">
        <f>SUM(Dettaglio!N9:Y9)</f>
        <v/>
      </c>
      <c r="G9">
        <f>Dettaglio!G9</f>
        <v/>
      </c>
      <c r="H9">
        <f>Dettaglio!H9</f>
        <v/>
      </c>
      <c r="I9">
        <f>F9-G9-H9</f>
        <v/>
      </c>
    </row>
    <row r="10">
      <c r="A10" t="inlineStr">
        <is>
          <t>Piero</t>
        </is>
      </c>
      <c r="B10">
        <f>COUNTIF(Risultati!C$2:M$13,A10)</f>
        <v/>
      </c>
      <c r="C10">
        <f>COUNTIF(Risultati!C$2:C$13,A10)</f>
        <v/>
      </c>
      <c r="D10">
        <f>COUNTIF(Risultati!D$2:D$13,A10)</f>
        <v/>
      </c>
      <c r="E10">
        <f>COUNTIF(Risultati!E$2:E$13,A10)</f>
        <v/>
      </c>
      <c r="F10">
        <f>SUM(Dettaglio!N10:Y10)</f>
        <v/>
      </c>
      <c r="G10">
        <f>Dettaglio!G10</f>
        <v/>
      </c>
      <c r="H10">
        <f>Dettaglio!H10</f>
        <v/>
      </c>
      <c r="I10">
        <f>F10-G10-H10</f>
        <v/>
      </c>
    </row>
    <row r="11">
      <c r="A11" t="inlineStr">
        <is>
          <t>Salado</t>
        </is>
      </c>
      <c r="B11">
        <f>COUNTIF(Risultati!C$2:M$13,A11)</f>
        <v/>
      </c>
      <c r="C11">
        <f>COUNTIF(Risultati!C$2:C$13,A11)</f>
        <v/>
      </c>
      <c r="D11">
        <f>COUNTIF(Risultati!D$2:D$13,A11)</f>
        <v/>
      </c>
      <c r="E11">
        <f>COUNTIF(Risultati!E$2:E$13,A11)</f>
        <v/>
      </c>
      <c r="F11">
        <f>SUM(Dettaglio!N11:Y11)</f>
        <v/>
      </c>
      <c r="G11">
        <f>Dettaglio!G11</f>
        <v/>
      </c>
      <c r="H11">
        <f>Dettaglio!H11</f>
        <v/>
      </c>
      <c r="I11">
        <f>F11-G11-H11</f>
        <v/>
      </c>
    </row>
    <row r="12">
      <c r="A12" t="inlineStr">
        <is>
          <t>Torre</t>
        </is>
      </c>
      <c r="B12">
        <f>COUNTIF(Risultati!C$2:M$13,A12)</f>
        <v/>
      </c>
      <c r="C12">
        <f>COUNTIF(Risultati!C$2:C$13,A12)</f>
        <v/>
      </c>
      <c r="D12">
        <f>COUNTIF(Risultati!D$2:D$13,A12)</f>
        <v/>
      </c>
      <c r="E12">
        <f>COUNTIF(Risultati!E$2:E$13,A12)</f>
        <v/>
      </c>
      <c r="F12">
        <f>SUM(Dettaglio!N12:Y12)</f>
        <v/>
      </c>
      <c r="G12">
        <f>Dettaglio!G12</f>
        <v/>
      </c>
      <c r="H12">
        <f>Dettaglio!H12</f>
        <v/>
      </c>
      <c r="I12">
        <f>F12-G12-H12</f>
        <v/>
      </c>
    </row>
    <row r="13">
      <c r="A13" t="inlineStr">
        <is>
          <t>Ube</t>
        </is>
      </c>
      <c r="B13">
        <f>COUNTIF(Risultati!C$2:M$13,A13)</f>
        <v/>
      </c>
      <c r="C13">
        <f>COUNTIF(Risultati!C$2:C$13,A13)</f>
        <v/>
      </c>
      <c r="D13">
        <f>COUNTIF(Risultati!D$2:D$13,A13)</f>
        <v/>
      </c>
      <c r="E13">
        <f>COUNTIF(Risultati!E$2:E$13,A13)</f>
        <v/>
      </c>
      <c r="F13">
        <f>SUM(Dettaglio!N13:Y13)</f>
        <v/>
      </c>
      <c r="G13">
        <f>Dettaglio!G13</f>
        <v/>
      </c>
      <c r="H13">
        <f>Dettaglio!H13</f>
        <v/>
      </c>
      <c r="I13">
        <f>F13-G13-H13</f>
        <v/>
      </c>
    </row>
    <row r="14">
      <c r="A14" t="inlineStr">
        <is>
          <t>Uccio</t>
        </is>
      </c>
      <c r="B14">
        <f>COUNTIF(Risultati!C$2:M$13,A14)</f>
        <v/>
      </c>
      <c r="C14">
        <f>COUNTIF(Risultati!C$2:C$13,A14)</f>
        <v/>
      </c>
      <c r="D14">
        <f>COUNTIF(Risultati!D$2:D$13,A14)</f>
        <v/>
      </c>
      <c r="E14">
        <f>COUNTIF(Risultati!E$2:E$13,A14)</f>
        <v/>
      </c>
      <c r="F14">
        <f>SUM(Dettaglio!N14:Y14)</f>
        <v/>
      </c>
      <c r="G14">
        <f>Dettaglio!G14</f>
        <v/>
      </c>
      <c r="H14">
        <f>Dettaglio!H14</f>
        <v/>
      </c>
      <c r="I14">
        <f>F14-G14-H14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Giornata</t>
        </is>
      </c>
      <c r="B1" t="inlineStr">
        <is>
          <t>Data</t>
        </is>
      </c>
      <c r="C1" t="inlineStr">
        <is>
          <t>1°</t>
        </is>
      </c>
      <c r="D1" t="inlineStr">
        <is>
          <t>2°</t>
        </is>
      </c>
      <c r="E1" t="inlineStr">
        <is>
          <t>3°</t>
        </is>
      </c>
      <c r="F1" t="inlineStr">
        <is>
          <t>4°</t>
        </is>
      </c>
      <c r="G1" t="inlineStr">
        <is>
          <t>5°</t>
        </is>
      </c>
      <c r="H1" t="inlineStr">
        <is>
          <t>6°</t>
        </is>
      </c>
      <c r="I1" t="inlineStr">
        <is>
          <t>7°</t>
        </is>
      </c>
      <c r="J1" t="inlineStr">
        <is>
          <t>8°</t>
        </is>
      </c>
      <c r="K1" t="inlineStr">
        <is>
          <t>9°</t>
        </is>
      </c>
      <c r="L1" t="inlineStr">
        <is>
          <t>10°</t>
        </is>
      </c>
      <c r="M1" t="inlineStr">
        <is>
          <t>11°</t>
        </is>
      </c>
      <c r="N1" t="inlineStr">
        <is>
          <t>Jolly</t>
        </is>
      </c>
    </row>
    <row r="2">
      <c r="A2" t="n">
        <v>1</v>
      </c>
      <c r="B2" t="inlineStr">
        <is>
          <t>29/10/2026</t>
        </is>
      </c>
    </row>
    <row r="3">
      <c r="A3" t="n">
        <v>2</v>
      </c>
      <c r="B3" t="inlineStr">
        <is>
          <t>12/11/2026</t>
        </is>
      </c>
    </row>
    <row r="4">
      <c r="A4" t="n">
        <v>3</v>
      </c>
      <c r="B4" t="inlineStr">
        <is>
          <t>26/11/2026</t>
        </is>
      </c>
    </row>
    <row r="5">
      <c r="A5" t="n">
        <v>4</v>
      </c>
      <c r="B5" t="inlineStr">
        <is>
          <t>10/12/2026</t>
        </is>
      </c>
    </row>
    <row r="6">
      <c r="A6" t="n">
        <v>5</v>
      </c>
      <c r="B6" t="inlineStr">
        <is>
          <t>07/01/2027</t>
        </is>
      </c>
    </row>
    <row r="7">
      <c r="A7" t="n">
        <v>6</v>
      </c>
      <c r="B7" t="inlineStr">
        <is>
          <t>21/01/2027</t>
        </is>
      </c>
    </row>
    <row r="8">
      <c r="A8" t="n">
        <v>7</v>
      </c>
      <c r="B8" t="inlineStr">
        <is>
          <t>04/02/2027</t>
        </is>
      </c>
    </row>
    <row r="9">
      <c r="A9" t="n">
        <v>8</v>
      </c>
      <c r="B9" t="inlineStr">
        <is>
          <t>18/02/2027</t>
        </is>
      </c>
    </row>
    <row r="10">
      <c r="A10" t="n">
        <v>9</v>
      </c>
      <c r="B10" t="inlineStr">
        <is>
          <t>04/03/2027</t>
        </is>
      </c>
    </row>
    <row r="11">
      <c r="A11" t="n">
        <v>10</v>
      </c>
      <c r="B11" t="inlineStr">
        <is>
          <t>18/03/2027</t>
        </is>
      </c>
    </row>
    <row r="12">
      <c r="A12" t="n">
        <v>11</v>
      </c>
      <c r="B12" t="inlineStr">
        <is>
          <t>01/04/2027</t>
        </is>
      </c>
    </row>
    <row r="13">
      <c r="A13" t="n">
        <v>12</v>
      </c>
      <c r="B13" t="inlineStr">
        <is>
          <t>15/04/2027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Giocatore</t>
        </is>
      </c>
      <c r="N1" t="inlineStr">
        <is>
          <t>G1</t>
        </is>
      </c>
      <c r="O1" t="inlineStr">
        <is>
          <t>G2</t>
        </is>
      </c>
      <c r="P1" t="inlineStr">
        <is>
          <t>G3</t>
        </is>
      </c>
      <c r="Q1" t="inlineStr">
        <is>
          <t>G4</t>
        </is>
      </c>
      <c r="R1" t="inlineStr">
        <is>
          <t>G5</t>
        </is>
      </c>
      <c r="S1" t="inlineStr">
        <is>
          <t>G6</t>
        </is>
      </c>
      <c r="T1" t="inlineStr">
        <is>
          <t>G7</t>
        </is>
      </c>
      <c r="U1" t="inlineStr">
        <is>
          <t>G8</t>
        </is>
      </c>
      <c r="V1" t="inlineStr">
        <is>
          <t>G9</t>
        </is>
      </c>
      <c r="W1" t="inlineStr">
        <is>
          <t>G10</t>
        </is>
      </c>
      <c r="X1" t="inlineStr">
        <is>
          <t>G11</t>
        </is>
      </c>
      <c r="Y1" t="inlineStr">
        <is>
          <t>G12</t>
        </is>
      </c>
    </row>
    <row r="4">
      <c r="A4" t="inlineStr">
        <is>
          <t>Fanfo</t>
        </is>
      </c>
      <c r="G4">
        <f>SMALL(N4:Y4,1)</f>
        <v/>
      </c>
      <c r="H4">
        <f>SMALL(N4:Y4,2)</f>
        <v/>
      </c>
      <c r="N4">
        <f>IF(COUNTIF(Risultati!C2:M2,A4)=0,0,INDEX({30,23,20,17,15,13,11,9,7,6,5},MATCH(A4,Risultati!C2:M2,0))+5+IF(Risultati!N2=A4,INDEX({30,23,20,17,15,13,11,9,7,6,5},MATCH(A4,Risultati!C2:M2,0)),0))</f>
        <v/>
      </c>
      <c r="O4">
        <f>IF(COUNTIF(Risultati!C3:M3,A4)=0,0,INDEX({30,23,20,17,15,13,11,9,7,6,5},MATCH(A4,Risultati!C3:M3,0))+5+IF(Risultati!N3=A4,INDEX({30,23,20,17,15,13,11,9,7,6,5},MATCH(A4,Risultati!C3:M3,0)),0))</f>
        <v/>
      </c>
      <c r="P4">
        <f>IF(COUNTIF(Risultati!C4:M4,A4)=0,0,INDEX({30,23,20,17,15,13,11,9,7,6,5},MATCH(A4,Risultati!C4:M4,0))+5+IF(Risultati!N4=A4,INDEX({30,23,20,17,15,13,11,9,7,6,5},MATCH(A4,Risultati!C4:M4,0)),0))</f>
        <v/>
      </c>
      <c r="Q4">
        <f>IF(COUNTIF(Risultati!C5:M5,A4)=0,0,INDEX({30,23,20,17,15,13,11,9,7,6,5},MATCH(A4,Risultati!C5:M5,0))+5+IF(Risultati!N5=A4,INDEX({30,23,20,17,15,13,11,9,7,6,5},MATCH(A4,Risultati!C5:M5,0)),0))</f>
        <v/>
      </c>
      <c r="R4">
        <f>IF(COUNTIF(Risultati!C6:M6,A4)=0,0,INDEX({30,23,20,17,15,13,11,9,7,6,5},MATCH(A4,Risultati!C6:M6,0))+5+IF(Risultati!N6=A4,INDEX({30,23,20,17,15,13,11,9,7,6,5},MATCH(A4,Risultati!C6:M6,0)),0))</f>
        <v/>
      </c>
      <c r="S4">
        <f>IF(COUNTIF(Risultati!C7:M7,A4)=0,0,INDEX({30,23,20,17,15,13,11,9,7,6,5},MATCH(A4,Risultati!C7:M7,0))+5+IF(Risultati!N7=A4,INDEX({30,23,20,17,15,13,11,9,7,6,5},MATCH(A4,Risultati!C7:M7,0)),0))</f>
        <v/>
      </c>
      <c r="T4">
        <f>IF(COUNTIF(Risultati!C8:M8,A4)=0,0,INDEX({30,23,20,17,15,13,11,9,7,6,5},MATCH(A4,Risultati!C8:M8,0))+5+IF(Risultati!N8=A4,INDEX({30,23,20,17,15,13,11,9,7,6,5},MATCH(A4,Risultati!C8:M8,0)),0))</f>
        <v/>
      </c>
      <c r="U4">
        <f>IF(COUNTIF(Risultati!C9:M9,A4)=0,0,INDEX({30,23,20,17,15,13,11,9,7,6,5},MATCH(A4,Risultati!C9:M9,0))+5+IF(Risultati!N9=A4,INDEX({30,23,20,17,15,13,11,9,7,6,5},MATCH(A4,Risultati!C9:M9,0)),0))</f>
        <v/>
      </c>
      <c r="V4">
        <f>IF(COUNTIF(Risultati!C10:M10,A4)=0,0,INDEX({30,23,20,17,15,13,11,9,7,6,5},MATCH(A4,Risultati!C10:M10,0))+5+IF(Risultati!N10=A4,INDEX({30,23,20,17,15,13,11,9,7,6,5},MATCH(A4,Risultati!C10:M10,0)),0))</f>
        <v/>
      </c>
      <c r="W4">
        <f>IF(COUNTIF(Risultati!C11:M11,A4)=0,0,INDEX({30,23,20,17,15,13,11,9,7,6,5},MATCH(A4,Risultati!C11:M11,0))+5+IF(Risultati!N11=A4,INDEX({30,23,20,17,15,13,11,9,7,6,5},MATCH(A4,Risultati!C11:M11,0)),0))</f>
        <v/>
      </c>
      <c r="X4">
        <f>IF(COUNTIF(Risultati!C12:M12,A4)=0,0,INDEX({30,23,20,17,15,13,11,9,7,6,5},MATCH(A4,Risultati!C12:M12,0))+5+IF(Risultati!N12=A4,INDEX({30,23,20,17,15,13,11,9,7,6,5},MATCH(A4,Risultati!C12:M12,0)),0))</f>
        <v/>
      </c>
      <c r="Y4">
        <f>IF(COUNTIF(Risultati!C13:M13,A4)=0,0,INDEX({30,23,20,17,15,13,11,9,7,6,5},MATCH(A4,Risultati!C13:M13,0))+5+IF(Risultati!N13=A4,INDEX({30,23,20,17,15,13,11,9,7,6,5},MATCH(A4,Risultati!C13:M13,0)),0))</f>
        <v/>
      </c>
    </row>
    <row r="5">
      <c r="A5" t="inlineStr">
        <is>
          <t>Generale</t>
        </is>
      </c>
      <c r="G5">
        <f>SMALL(N5:Y5,1)</f>
        <v/>
      </c>
      <c r="H5">
        <f>SMALL(N5:Y5,2)</f>
        <v/>
      </c>
      <c r="N5">
        <f>IF(COUNTIF(Risultati!C2:M2,A5)=0,0,INDEX({30,23,20,17,15,13,11,9,7,6,5},MATCH(A5,Risultati!C2:M2,0))+5+IF(Risultati!N2=A5,INDEX({30,23,20,17,15,13,11,9,7,6,5},MATCH(A5,Risultati!C2:M2,0)),0))</f>
        <v/>
      </c>
      <c r="O5">
        <f>IF(COUNTIF(Risultati!C3:M3,A5)=0,0,INDEX({30,23,20,17,15,13,11,9,7,6,5},MATCH(A5,Risultati!C3:M3,0))+5+IF(Risultati!N3=A5,INDEX({30,23,20,17,15,13,11,9,7,6,5},MATCH(A5,Risultati!C3:M3,0)),0))</f>
        <v/>
      </c>
      <c r="P5">
        <f>IF(COUNTIF(Risultati!C4:M4,A5)=0,0,INDEX({30,23,20,17,15,13,11,9,7,6,5},MATCH(A5,Risultati!C4:M4,0))+5+IF(Risultati!N4=A5,INDEX({30,23,20,17,15,13,11,9,7,6,5},MATCH(A5,Risultati!C4:M4,0)),0))</f>
        <v/>
      </c>
      <c r="Q5">
        <f>IF(COUNTIF(Risultati!C5:M5,A5)=0,0,INDEX({30,23,20,17,15,13,11,9,7,6,5},MATCH(A5,Risultati!C5:M5,0))+5+IF(Risultati!N5=A5,INDEX({30,23,20,17,15,13,11,9,7,6,5},MATCH(A5,Risultati!C5:M5,0)),0))</f>
        <v/>
      </c>
      <c r="R5">
        <f>IF(COUNTIF(Risultati!C6:M6,A5)=0,0,INDEX({30,23,20,17,15,13,11,9,7,6,5},MATCH(A5,Risultati!C6:M6,0))+5+IF(Risultati!N6=A5,INDEX({30,23,20,17,15,13,11,9,7,6,5},MATCH(A5,Risultati!C6:M6,0)),0))</f>
        <v/>
      </c>
      <c r="S5">
        <f>IF(COUNTIF(Risultati!C7:M7,A5)=0,0,INDEX({30,23,20,17,15,13,11,9,7,6,5},MATCH(A5,Risultati!C7:M7,0))+5+IF(Risultati!N7=A5,INDEX({30,23,20,17,15,13,11,9,7,6,5},MATCH(A5,Risultati!C7:M7,0)),0))</f>
        <v/>
      </c>
      <c r="T5">
        <f>IF(COUNTIF(Risultati!C8:M8,A5)=0,0,INDEX({30,23,20,17,15,13,11,9,7,6,5},MATCH(A5,Risultati!C8:M8,0))+5+IF(Risultati!N8=A5,INDEX({30,23,20,17,15,13,11,9,7,6,5},MATCH(A5,Risultati!C8:M8,0)),0))</f>
        <v/>
      </c>
      <c r="U5">
        <f>IF(COUNTIF(Risultati!C9:M9,A5)=0,0,INDEX({30,23,20,17,15,13,11,9,7,6,5},MATCH(A5,Risultati!C9:M9,0))+5+IF(Risultati!N9=A5,INDEX({30,23,20,17,15,13,11,9,7,6,5},MATCH(A5,Risultati!C9:M9,0)),0))</f>
        <v/>
      </c>
      <c r="V5">
        <f>IF(COUNTIF(Risultati!C10:M10,A5)=0,0,INDEX({30,23,20,17,15,13,11,9,7,6,5},MATCH(A5,Risultati!C10:M10,0))+5+IF(Risultati!N10=A5,INDEX({30,23,20,17,15,13,11,9,7,6,5},MATCH(A5,Risultati!C10:M10,0)),0))</f>
        <v/>
      </c>
      <c r="W5">
        <f>IF(COUNTIF(Risultati!C11:M11,A5)=0,0,INDEX({30,23,20,17,15,13,11,9,7,6,5},MATCH(A5,Risultati!C11:M11,0))+5+IF(Risultati!N11=A5,INDEX({30,23,20,17,15,13,11,9,7,6,5},MATCH(A5,Risultati!C11:M11,0)),0))</f>
        <v/>
      </c>
      <c r="X5">
        <f>IF(COUNTIF(Risultati!C12:M12,A5)=0,0,INDEX({30,23,20,17,15,13,11,9,7,6,5},MATCH(A5,Risultati!C12:M12,0))+5+IF(Risultati!N12=A5,INDEX({30,23,20,17,15,13,11,9,7,6,5},MATCH(A5,Risultati!C12:M12,0)),0))</f>
        <v/>
      </c>
      <c r="Y5">
        <f>IF(COUNTIF(Risultati!C13:M13,A5)=0,0,INDEX({30,23,20,17,15,13,11,9,7,6,5},MATCH(A5,Risultati!C13:M13,0))+5+IF(Risultati!N13=A5,INDEX({30,23,20,17,15,13,11,9,7,6,5},MATCH(A5,Risultati!C13:M13,0)),0))</f>
        <v/>
      </c>
    </row>
    <row r="6">
      <c r="A6" t="inlineStr">
        <is>
          <t>Giopowie</t>
        </is>
      </c>
      <c r="G6">
        <f>SMALL(N6:Y6,1)</f>
        <v/>
      </c>
      <c r="H6">
        <f>SMALL(N6:Y6,2)</f>
        <v/>
      </c>
      <c r="N6">
        <f>IF(COUNTIF(Risultati!C2:M2,A6)=0,0,INDEX({30,23,20,17,15,13,11,9,7,6,5},MATCH(A6,Risultati!C2:M2,0))+5+IF(Risultati!N2=A6,INDEX({30,23,20,17,15,13,11,9,7,6,5},MATCH(A6,Risultati!C2:M2,0)),0))</f>
        <v/>
      </c>
      <c r="O6">
        <f>IF(COUNTIF(Risultati!C3:M3,A6)=0,0,INDEX({30,23,20,17,15,13,11,9,7,6,5},MATCH(A6,Risultati!C3:M3,0))+5+IF(Risultati!N3=A6,INDEX({30,23,20,17,15,13,11,9,7,6,5},MATCH(A6,Risultati!C3:M3,0)),0))</f>
        <v/>
      </c>
      <c r="P6">
        <f>IF(COUNTIF(Risultati!C4:M4,A6)=0,0,INDEX({30,23,20,17,15,13,11,9,7,6,5},MATCH(A6,Risultati!C4:M4,0))+5+IF(Risultati!N4=A6,INDEX({30,23,20,17,15,13,11,9,7,6,5},MATCH(A6,Risultati!C4:M4,0)),0))</f>
        <v/>
      </c>
      <c r="Q6">
        <f>IF(COUNTIF(Risultati!C5:M5,A6)=0,0,INDEX({30,23,20,17,15,13,11,9,7,6,5},MATCH(A6,Risultati!C5:M5,0))+5+IF(Risultati!N5=A6,INDEX({30,23,20,17,15,13,11,9,7,6,5},MATCH(A6,Risultati!C5:M5,0)),0))</f>
        <v/>
      </c>
      <c r="R6">
        <f>IF(COUNTIF(Risultati!C6:M6,A6)=0,0,INDEX({30,23,20,17,15,13,11,9,7,6,5},MATCH(A6,Risultati!C6:M6,0))+5+IF(Risultati!N6=A6,INDEX({30,23,20,17,15,13,11,9,7,6,5},MATCH(A6,Risultati!C6:M6,0)),0))</f>
        <v/>
      </c>
      <c r="S6">
        <f>IF(COUNTIF(Risultati!C7:M7,A6)=0,0,INDEX({30,23,20,17,15,13,11,9,7,6,5},MATCH(A6,Risultati!C7:M7,0))+5+IF(Risultati!N7=A6,INDEX({30,23,20,17,15,13,11,9,7,6,5},MATCH(A6,Risultati!C7:M7,0)),0))</f>
        <v/>
      </c>
      <c r="T6">
        <f>IF(COUNTIF(Risultati!C8:M8,A6)=0,0,INDEX({30,23,20,17,15,13,11,9,7,6,5},MATCH(A6,Risultati!C8:M8,0))+5+IF(Risultati!N8=A6,INDEX({30,23,20,17,15,13,11,9,7,6,5},MATCH(A6,Risultati!C8:M8,0)),0))</f>
        <v/>
      </c>
      <c r="U6">
        <f>IF(COUNTIF(Risultati!C9:M9,A6)=0,0,INDEX({30,23,20,17,15,13,11,9,7,6,5},MATCH(A6,Risultati!C9:M9,0))+5+IF(Risultati!N9=A6,INDEX({30,23,20,17,15,13,11,9,7,6,5},MATCH(A6,Risultati!C9:M9,0)),0))</f>
        <v/>
      </c>
      <c r="V6">
        <f>IF(COUNTIF(Risultati!C10:M10,A6)=0,0,INDEX({30,23,20,17,15,13,11,9,7,6,5},MATCH(A6,Risultati!C10:M10,0))+5+IF(Risultati!N10=A6,INDEX({30,23,20,17,15,13,11,9,7,6,5},MATCH(A6,Risultati!C10:M10,0)),0))</f>
        <v/>
      </c>
      <c r="W6">
        <f>IF(COUNTIF(Risultati!C11:M11,A6)=0,0,INDEX({30,23,20,17,15,13,11,9,7,6,5},MATCH(A6,Risultati!C11:M11,0))+5+IF(Risultati!N11=A6,INDEX({30,23,20,17,15,13,11,9,7,6,5},MATCH(A6,Risultati!C11:M11,0)),0))</f>
        <v/>
      </c>
      <c r="X6">
        <f>IF(COUNTIF(Risultati!C12:M12,A6)=0,0,INDEX({30,23,20,17,15,13,11,9,7,6,5},MATCH(A6,Risultati!C12:M12,0))+5+IF(Risultati!N12=A6,INDEX({30,23,20,17,15,13,11,9,7,6,5},MATCH(A6,Risultati!C12:M12,0)),0))</f>
        <v/>
      </c>
      <c r="Y6">
        <f>IF(COUNTIF(Risultati!C13:M13,A6)=0,0,INDEX({30,23,20,17,15,13,11,9,7,6,5},MATCH(A6,Risultati!C13:M13,0))+5+IF(Risultati!N13=A6,INDEX({30,23,20,17,15,13,11,9,7,6,5},MATCH(A6,Risultati!C13:M13,0)),0))</f>
        <v/>
      </c>
    </row>
    <row r="7">
      <c r="A7" t="inlineStr">
        <is>
          <t>Lorenzo</t>
        </is>
      </c>
      <c r="G7">
        <f>SMALL(N7:Y7,1)</f>
        <v/>
      </c>
      <c r="H7">
        <f>SMALL(N7:Y7,2)</f>
        <v/>
      </c>
      <c r="N7">
        <f>IF(COUNTIF(Risultati!C2:M2,A7)=0,0,INDEX({30,23,20,17,15,13,11,9,7,6,5},MATCH(A7,Risultati!C2:M2,0))+5+IF(Risultati!N2=A7,INDEX({30,23,20,17,15,13,11,9,7,6,5},MATCH(A7,Risultati!C2:M2,0)),0))</f>
        <v/>
      </c>
      <c r="O7">
        <f>IF(COUNTIF(Risultati!C3:M3,A7)=0,0,INDEX({30,23,20,17,15,13,11,9,7,6,5},MATCH(A7,Risultati!C3:M3,0))+5+IF(Risultati!N3=A7,INDEX({30,23,20,17,15,13,11,9,7,6,5},MATCH(A7,Risultati!C3:M3,0)),0))</f>
        <v/>
      </c>
      <c r="P7">
        <f>IF(COUNTIF(Risultati!C4:M4,A7)=0,0,INDEX({30,23,20,17,15,13,11,9,7,6,5},MATCH(A7,Risultati!C4:M4,0))+5+IF(Risultati!N4=A7,INDEX({30,23,20,17,15,13,11,9,7,6,5},MATCH(A7,Risultati!C4:M4,0)),0))</f>
        <v/>
      </c>
      <c r="Q7">
        <f>IF(COUNTIF(Risultati!C5:M5,A7)=0,0,INDEX({30,23,20,17,15,13,11,9,7,6,5},MATCH(A7,Risultati!C5:M5,0))+5+IF(Risultati!N5=A7,INDEX({30,23,20,17,15,13,11,9,7,6,5},MATCH(A7,Risultati!C5:M5,0)),0))</f>
        <v/>
      </c>
      <c r="R7">
        <f>IF(COUNTIF(Risultati!C6:M6,A7)=0,0,INDEX({30,23,20,17,15,13,11,9,7,6,5},MATCH(A7,Risultati!C6:M6,0))+5+IF(Risultati!N6=A7,INDEX({30,23,20,17,15,13,11,9,7,6,5},MATCH(A7,Risultati!C6:M6,0)),0))</f>
        <v/>
      </c>
      <c r="S7">
        <f>IF(COUNTIF(Risultati!C7:M7,A7)=0,0,INDEX({30,23,20,17,15,13,11,9,7,6,5},MATCH(A7,Risultati!C7:M7,0))+5+IF(Risultati!N7=A7,INDEX({30,23,20,17,15,13,11,9,7,6,5},MATCH(A7,Risultati!C7:M7,0)),0))</f>
        <v/>
      </c>
      <c r="T7">
        <f>IF(COUNTIF(Risultati!C8:M8,A7)=0,0,INDEX({30,23,20,17,15,13,11,9,7,6,5},MATCH(A7,Risultati!C8:M8,0))+5+IF(Risultati!N8=A7,INDEX({30,23,20,17,15,13,11,9,7,6,5},MATCH(A7,Risultati!C8:M8,0)),0))</f>
        <v/>
      </c>
      <c r="U7">
        <f>IF(COUNTIF(Risultati!C9:M9,A7)=0,0,INDEX({30,23,20,17,15,13,11,9,7,6,5},MATCH(A7,Risultati!C9:M9,0))+5+IF(Risultati!N9=A7,INDEX({30,23,20,17,15,13,11,9,7,6,5},MATCH(A7,Risultati!C9:M9,0)),0))</f>
        <v/>
      </c>
      <c r="V7">
        <f>IF(COUNTIF(Risultati!C10:M10,A7)=0,0,INDEX({30,23,20,17,15,13,11,9,7,6,5},MATCH(A7,Risultati!C10:M10,0))+5+IF(Risultati!N10=A7,INDEX({30,23,20,17,15,13,11,9,7,6,5},MATCH(A7,Risultati!C10:M10,0)),0))</f>
        <v/>
      </c>
      <c r="W7">
        <f>IF(COUNTIF(Risultati!C11:M11,A7)=0,0,INDEX({30,23,20,17,15,13,11,9,7,6,5},MATCH(A7,Risultati!C11:M11,0))+5+IF(Risultati!N11=A7,INDEX({30,23,20,17,15,13,11,9,7,6,5},MATCH(A7,Risultati!C11:M11,0)),0))</f>
        <v/>
      </c>
      <c r="X7">
        <f>IF(COUNTIF(Risultati!C12:M12,A7)=0,0,INDEX({30,23,20,17,15,13,11,9,7,6,5},MATCH(A7,Risultati!C12:M12,0))+5+IF(Risultati!N12=A7,INDEX({30,23,20,17,15,13,11,9,7,6,5},MATCH(A7,Risultati!C12:M12,0)),0))</f>
        <v/>
      </c>
      <c r="Y7">
        <f>IF(COUNTIF(Risultati!C13:M13,A7)=0,0,INDEX({30,23,20,17,15,13,11,9,7,6,5},MATCH(A7,Risultati!C13:M13,0))+5+IF(Risultati!N13=A7,INDEX({30,23,20,17,15,13,11,9,7,6,5},MATCH(A7,Risultati!C13:M13,0)),0))</f>
        <v/>
      </c>
    </row>
    <row r="8">
      <c r="A8" t="inlineStr">
        <is>
          <t>Maldo</t>
        </is>
      </c>
      <c r="G8">
        <f>SMALL(N8:Y8,1)</f>
        <v/>
      </c>
      <c r="H8">
        <f>SMALL(N8:Y8,2)</f>
        <v/>
      </c>
      <c r="N8">
        <f>IF(COUNTIF(Risultati!C2:M2,A8)=0,0,INDEX({30,23,20,17,15,13,11,9,7,6,5},MATCH(A8,Risultati!C2:M2,0))+5+IF(Risultati!N2=A8,INDEX({30,23,20,17,15,13,11,9,7,6,5},MATCH(A8,Risultati!C2:M2,0)),0))</f>
        <v/>
      </c>
      <c r="O8">
        <f>IF(COUNTIF(Risultati!C3:M3,A8)=0,0,INDEX({30,23,20,17,15,13,11,9,7,6,5},MATCH(A8,Risultati!C3:M3,0))+5+IF(Risultati!N3=A8,INDEX({30,23,20,17,15,13,11,9,7,6,5},MATCH(A8,Risultati!C3:M3,0)),0))</f>
        <v/>
      </c>
      <c r="P8">
        <f>IF(COUNTIF(Risultati!C4:M4,A8)=0,0,INDEX({30,23,20,17,15,13,11,9,7,6,5},MATCH(A8,Risultati!C4:M4,0))+5+IF(Risultati!N4=A8,INDEX({30,23,20,17,15,13,11,9,7,6,5},MATCH(A8,Risultati!C4:M4,0)),0))</f>
        <v/>
      </c>
      <c r="Q8">
        <f>IF(COUNTIF(Risultati!C5:M5,A8)=0,0,INDEX({30,23,20,17,15,13,11,9,7,6,5},MATCH(A8,Risultati!C5:M5,0))+5+IF(Risultati!N5=A8,INDEX({30,23,20,17,15,13,11,9,7,6,5},MATCH(A8,Risultati!C5:M5,0)),0))</f>
        <v/>
      </c>
      <c r="R8">
        <f>IF(COUNTIF(Risultati!C6:M6,A8)=0,0,INDEX({30,23,20,17,15,13,11,9,7,6,5},MATCH(A8,Risultati!C6:M6,0))+5+IF(Risultati!N6=A8,INDEX({30,23,20,17,15,13,11,9,7,6,5},MATCH(A8,Risultati!C6:M6,0)),0))</f>
        <v/>
      </c>
      <c r="S8">
        <f>IF(COUNTIF(Risultati!C7:M7,A8)=0,0,INDEX({30,23,20,17,15,13,11,9,7,6,5},MATCH(A8,Risultati!C7:M7,0))+5+IF(Risultati!N7=A8,INDEX({30,23,20,17,15,13,11,9,7,6,5},MATCH(A8,Risultati!C7:M7,0)),0))</f>
        <v/>
      </c>
      <c r="T8">
        <f>IF(COUNTIF(Risultati!C8:M8,A8)=0,0,INDEX({30,23,20,17,15,13,11,9,7,6,5},MATCH(A8,Risultati!C8:M8,0))+5+IF(Risultati!N8=A8,INDEX({30,23,20,17,15,13,11,9,7,6,5},MATCH(A8,Risultati!C8:M8,0)),0))</f>
        <v/>
      </c>
      <c r="U8">
        <f>IF(COUNTIF(Risultati!C9:M9,A8)=0,0,INDEX({30,23,20,17,15,13,11,9,7,6,5},MATCH(A8,Risultati!C9:M9,0))+5+IF(Risultati!N9=A8,INDEX({30,23,20,17,15,13,11,9,7,6,5},MATCH(A8,Risultati!C9:M9,0)),0))</f>
        <v/>
      </c>
      <c r="V8">
        <f>IF(COUNTIF(Risultati!C10:M10,A8)=0,0,INDEX({30,23,20,17,15,13,11,9,7,6,5},MATCH(A8,Risultati!C10:M10,0))+5+IF(Risultati!N10=A8,INDEX({30,23,20,17,15,13,11,9,7,6,5},MATCH(A8,Risultati!C10:M10,0)),0))</f>
        <v/>
      </c>
      <c r="W8">
        <f>IF(COUNTIF(Risultati!C11:M11,A8)=0,0,INDEX({30,23,20,17,15,13,11,9,7,6,5},MATCH(A8,Risultati!C11:M11,0))+5+IF(Risultati!N11=A8,INDEX({30,23,20,17,15,13,11,9,7,6,5},MATCH(A8,Risultati!C11:M11,0)),0))</f>
        <v/>
      </c>
      <c r="X8">
        <f>IF(COUNTIF(Risultati!C12:M12,A8)=0,0,INDEX({30,23,20,17,15,13,11,9,7,6,5},MATCH(A8,Risultati!C12:M12,0))+5+IF(Risultati!N12=A8,INDEX({30,23,20,17,15,13,11,9,7,6,5},MATCH(A8,Risultati!C12:M12,0)),0))</f>
        <v/>
      </c>
      <c r="Y8">
        <f>IF(COUNTIF(Risultati!C13:M13,A8)=0,0,INDEX({30,23,20,17,15,13,11,9,7,6,5},MATCH(A8,Risultati!C13:M13,0))+5+IF(Risultati!N13=A8,INDEX({30,23,20,17,15,13,11,9,7,6,5},MATCH(A8,Risultati!C13:M13,0)),0))</f>
        <v/>
      </c>
    </row>
    <row r="9">
      <c r="A9" t="inlineStr">
        <is>
          <t>Muso</t>
        </is>
      </c>
      <c r="G9">
        <f>SMALL(N9:Y9,1)</f>
        <v/>
      </c>
      <c r="H9">
        <f>SMALL(N9:Y9,2)</f>
        <v/>
      </c>
      <c r="N9">
        <f>IF(COUNTIF(Risultati!C2:M2,A9)=0,0,INDEX({30,23,20,17,15,13,11,9,7,6,5},MATCH(A9,Risultati!C2:M2,0))+5+IF(Risultati!N2=A9,INDEX({30,23,20,17,15,13,11,9,7,6,5},MATCH(A9,Risultati!C2:M2,0)),0))</f>
        <v/>
      </c>
      <c r="O9">
        <f>IF(COUNTIF(Risultati!C3:M3,A9)=0,0,INDEX({30,23,20,17,15,13,11,9,7,6,5},MATCH(A9,Risultati!C3:M3,0))+5+IF(Risultati!N3=A9,INDEX({30,23,20,17,15,13,11,9,7,6,5},MATCH(A9,Risultati!C3:M3,0)),0))</f>
        <v/>
      </c>
      <c r="P9">
        <f>IF(COUNTIF(Risultati!C4:M4,A9)=0,0,INDEX({30,23,20,17,15,13,11,9,7,6,5},MATCH(A9,Risultati!C4:M4,0))+5+IF(Risultati!N4=A9,INDEX({30,23,20,17,15,13,11,9,7,6,5},MATCH(A9,Risultati!C4:M4,0)),0))</f>
        <v/>
      </c>
      <c r="Q9">
        <f>IF(COUNTIF(Risultati!C5:M5,A9)=0,0,INDEX({30,23,20,17,15,13,11,9,7,6,5},MATCH(A9,Risultati!C5:M5,0))+5+IF(Risultati!N5=A9,INDEX({30,23,20,17,15,13,11,9,7,6,5},MATCH(A9,Risultati!C5:M5,0)),0))</f>
        <v/>
      </c>
      <c r="R9">
        <f>IF(COUNTIF(Risultati!C6:M6,A9)=0,0,INDEX({30,23,20,17,15,13,11,9,7,6,5},MATCH(A9,Risultati!C6:M6,0))+5+IF(Risultati!N6=A9,INDEX({30,23,20,17,15,13,11,9,7,6,5},MATCH(A9,Risultati!C6:M6,0)),0))</f>
        <v/>
      </c>
      <c r="S9">
        <f>IF(COUNTIF(Risultati!C7:M7,A9)=0,0,INDEX({30,23,20,17,15,13,11,9,7,6,5},MATCH(A9,Risultati!C7:M7,0))+5+IF(Risultati!N7=A9,INDEX({30,23,20,17,15,13,11,9,7,6,5},MATCH(A9,Risultati!C7:M7,0)),0))</f>
        <v/>
      </c>
      <c r="T9">
        <f>IF(COUNTIF(Risultati!C8:M8,A9)=0,0,INDEX({30,23,20,17,15,13,11,9,7,6,5},MATCH(A9,Risultati!C8:M8,0))+5+IF(Risultati!N8=A9,INDEX({30,23,20,17,15,13,11,9,7,6,5},MATCH(A9,Risultati!C8:M8,0)),0))</f>
        <v/>
      </c>
      <c r="U9">
        <f>IF(COUNTIF(Risultati!C9:M9,A9)=0,0,INDEX({30,23,20,17,15,13,11,9,7,6,5},MATCH(A9,Risultati!C9:M9,0))+5+IF(Risultati!N9=A9,INDEX({30,23,20,17,15,13,11,9,7,6,5},MATCH(A9,Risultati!C9:M9,0)),0))</f>
        <v/>
      </c>
      <c r="V9">
        <f>IF(COUNTIF(Risultati!C10:M10,A9)=0,0,INDEX({30,23,20,17,15,13,11,9,7,6,5},MATCH(A9,Risultati!C10:M10,0))+5+IF(Risultati!N10=A9,INDEX({30,23,20,17,15,13,11,9,7,6,5},MATCH(A9,Risultati!C10:M10,0)),0))</f>
        <v/>
      </c>
      <c r="W9">
        <f>IF(COUNTIF(Risultati!C11:M11,A9)=0,0,INDEX({30,23,20,17,15,13,11,9,7,6,5},MATCH(A9,Risultati!C11:M11,0))+5+IF(Risultati!N11=A9,INDEX({30,23,20,17,15,13,11,9,7,6,5},MATCH(A9,Risultati!C11:M11,0)),0))</f>
        <v/>
      </c>
      <c r="X9">
        <f>IF(COUNTIF(Risultati!C12:M12,A9)=0,0,INDEX({30,23,20,17,15,13,11,9,7,6,5},MATCH(A9,Risultati!C12:M12,0))+5+IF(Risultati!N12=A9,INDEX({30,23,20,17,15,13,11,9,7,6,5},MATCH(A9,Risultati!C12:M12,0)),0))</f>
        <v/>
      </c>
      <c r="Y9">
        <f>IF(COUNTIF(Risultati!C13:M13,A9)=0,0,INDEX({30,23,20,17,15,13,11,9,7,6,5},MATCH(A9,Risultati!C13:M13,0))+5+IF(Risultati!N13=A9,INDEX({30,23,20,17,15,13,11,9,7,6,5},MATCH(A9,Risultati!C13:M13,0)),0))</f>
        <v/>
      </c>
    </row>
    <row r="10">
      <c r="A10" t="inlineStr">
        <is>
          <t>Piero</t>
        </is>
      </c>
      <c r="G10">
        <f>SMALL(N10:Y10,1)</f>
        <v/>
      </c>
      <c r="H10">
        <f>SMALL(N10:Y10,2)</f>
        <v/>
      </c>
      <c r="N10">
        <f>IF(COUNTIF(Risultati!C2:M2,A10)=0,0,INDEX({30,23,20,17,15,13,11,9,7,6,5},MATCH(A10,Risultati!C2:M2,0))+5+IF(Risultati!N2=A10,INDEX({30,23,20,17,15,13,11,9,7,6,5},MATCH(A10,Risultati!C2:M2,0)),0))</f>
        <v/>
      </c>
      <c r="O10">
        <f>IF(COUNTIF(Risultati!C3:M3,A10)=0,0,INDEX({30,23,20,17,15,13,11,9,7,6,5},MATCH(A10,Risultati!C3:M3,0))+5+IF(Risultati!N3=A10,INDEX({30,23,20,17,15,13,11,9,7,6,5},MATCH(A10,Risultati!C3:M3,0)),0))</f>
        <v/>
      </c>
      <c r="P10">
        <f>IF(COUNTIF(Risultati!C4:M4,A10)=0,0,INDEX({30,23,20,17,15,13,11,9,7,6,5},MATCH(A10,Risultati!C4:M4,0))+5+IF(Risultati!N4=A10,INDEX({30,23,20,17,15,13,11,9,7,6,5},MATCH(A10,Risultati!C4:M4,0)),0))</f>
        <v/>
      </c>
      <c r="Q10">
        <f>IF(COUNTIF(Risultati!C5:M5,A10)=0,0,INDEX({30,23,20,17,15,13,11,9,7,6,5},MATCH(A10,Risultati!C5:M5,0))+5+IF(Risultati!N5=A10,INDEX({30,23,20,17,15,13,11,9,7,6,5},MATCH(A10,Risultati!C5:M5,0)),0))</f>
        <v/>
      </c>
      <c r="R10">
        <f>IF(COUNTIF(Risultati!C6:M6,A10)=0,0,INDEX({30,23,20,17,15,13,11,9,7,6,5},MATCH(A10,Risultati!C6:M6,0))+5+IF(Risultati!N6=A10,INDEX({30,23,20,17,15,13,11,9,7,6,5},MATCH(A10,Risultati!C6:M6,0)),0))</f>
        <v/>
      </c>
      <c r="S10">
        <f>IF(COUNTIF(Risultati!C7:M7,A10)=0,0,INDEX({30,23,20,17,15,13,11,9,7,6,5},MATCH(A10,Risultati!C7:M7,0))+5+IF(Risultati!N7=A10,INDEX({30,23,20,17,15,13,11,9,7,6,5},MATCH(A10,Risultati!C7:M7,0)),0))</f>
        <v/>
      </c>
      <c r="T10">
        <f>IF(COUNTIF(Risultati!C8:M8,A10)=0,0,INDEX({30,23,20,17,15,13,11,9,7,6,5},MATCH(A10,Risultati!C8:M8,0))+5+IF(Risultati!N8=A10,INDEX({30,23,20,17,15,13,11,9,7,6,5},MATCH(A10,Risultati!C8:M8,0)),0))</f>
        <v/>
      </c>
      <c r="U10">
        <f>IF(COUNTIF(Risultati!C9:M9,A10)=0,0,INDEX({30,23,20,17,15,13,11,9,7,6,5},MATCH(A10,Risultati!C9:M9,0))+5+IF(Risultati!N9=A10,INDEX({30,23,20,17,15,13,11,9,7,6,5},MATCH(A10,Risultati!C9:M9,0)),0))</f>
        <v/>
      </c>
      <c r="V10">
        <f>IF(COUNTIF(Risultati!C10:M10,A10)=0,0,INDEX({30,23,20,17,15,13,11,9,7,6,5},MATCH(A10,Risultati!C10:M10,0))+5+IF(Risultati!N10=A10,INDEX({30,23,20,17,15,13,11,9,7,6,5},MATCH(A10,Risultati!C10:M10,0)),0))</f>
        <v/>
      </c>
      <c r="W10">
        <f>IF(COUNTIF(Risultati!C11:M11,A10)=0,0,INDEX({30,23,20,17,15,13,11,9,7,6,5},MATCH(A10,Risultati!C11:M11,0))+5+IF(Risultati!N11=A10,INDEX({30,23,20,17,15,13,11,9,7,6,5},MATCH(A10,Risultati!C11:M11,0)),0))</f>
        <v/>
      </c>
      <c r="X10">
        <f>IF(COUNTIF(Risultati!C12:M12,A10)=0,0,INDEX({30,23,20,17,15,13,11,9,7,6,5},MATCH(A10,Risultati!C12:M12,0))+5+IF(Risultati!N12=A10,INDEX({30,23,20,17,15,13,11,9,7,6,5},MATCH(A10,Risultati!C12:M12,0)),0))</f>
        <v/>
      </c>
      <c r="Y10">
        <f>IF(COUNTIF(Risultati!C13:M13,A10)=0,0,INDEX({30,23,20,17,15,13,11,9,7,6,5},MATCH(A10,Risultati!C13:M13,0))+5+IF(Risultati!N13=A10,INDEX({30,23,20,17,15,13,11,9,7,6,5},MATCH(A10,Risultati!C13:M13,0)),0))</f>
        <v/>
      </c>
    </row>
    <row r="11">
      <c r="A11" t="inlineStr">
        <is>
          <t>Salado</t>
        </is>
      </c>
      <c r="G11">
        <f>SMALL(N11:Y11,1)</f>
        <v/>
      </c>
      <c r="H11">
        <f>SMALL(N11:Y11,2)</f>
        <v/>
      </c>
      <c r="N11">
        <f>IF(COUNTIF(Risultati!C2:M2,A11)=0,0,INDEX({30,23,20,17,15,13,11,9,7,6,5},MATCH(A11,Risultati!C2:M2,0))+5+IF(Risultati!N2=A11,INDEX({30,23,20,17,15,13,11,9,7,6,5},MATCH(A11,Risultati!C2:M2,0)),0))</f>
        <v/>
      </c>
      <c r="O11">
        <f>IF(COUNTIF(Risultati!C3:M3,A11)=0,0,INDEX({30,23,20,17,15,13,11,9,7,6,5},MATCH(A11,Risultati!C3:M3,0))+5+IF(Risultati!N3=A11,INDEX({30,23,20,17,15,13,11,9,7,6,5},MATCH(A11,Risultati!C3:M3,0)),0))</f>
        <v/>
      </c>
      <c r="P11">
        <f>IF(COUNTIF(Risultati!C4:M4,A11)=0,0,INDEX({30,23,20,17,15,13,11,9,7,6,5},MATCH(A11,Risultati!C4:M4,0))+5+IF(Risultati!N4=A11,INDEX({30,23,20,17,15,13,11,9,7,6,5},MATCH(A11,Risultati!C4:M4,0)),0))</f>
        <v/>
      </c>
      <c r="Q11">
        <f>IF(COUNTIF(Risultati!C5:M5,A11)=0,0,INDEX({30,23,20,17,15,13,11,9,7,6,5},MATCH(A11,Risultati!C5:M5,0))+5+IF(Risultati!N5=A11,INDEX({30,23,20,17,15,13,11,9,7,6,5},MATCH(A11,Risultati!C5:M5,0)),0))</f>
        <v/>
      </c>
      <c r="R11">
        <f>IF(COUNTIF(Risultati!C6:M6,A11)=0,0,INDEX({30,23,20,17,15,13,11,9,7,6,5},MATCH(A11,Risultati!C6:M6,0))+5+IF(Risultati!N6=A11,INDEX({30,23,20,17,15,13,11,9,7,6,5},MATCH(A11,Risultati!C6:M6,0)),0))</f>
        <v/>
      </c>
      <c r="S11">
        <f>IF(COUNTIF(Risultati!C7:M7,A11)=0,0,INDEX({30,23,20,17,15,13,11,9,7,6,5},MATCH(A11,Risultati!C7:M7,0))+5+IF(Risultati!N7=A11,INDEX({30,23,20,17,15,13,11,9,7,6,5},MATCH(A11,Risultati!C7:M7,0)),0))</f>
        <v/>
      </c>
      <c r="T11">
        <f>IF(COUNTIF(Risultati!C8:M8,A11)=0,0,INDEX({30,23,20,17,15,13,11,9,7,6,5},MATCH(A11,Risultati!C8:M8,0))+5+IF(Risultati!N8=A11,INDEX({30,23,20,17,15,13,11,9,7,6,5},MATCH(A11,Risultati!C8:M8,0)),0))</f>
        <v/>
      </c>
      <c r="U11">
        <f>IF(COUNTIF(Risultati!C9:M9,A11)=0,0,INDEX({30,23,20,17,15,13,11,9,7,6,5},MATCH(A11,Risultati!C9:M9,0))+5+IF(Risultati!N9=A11,INDEX({30,23,20,17,15,13,11,9,7,6,5},MATCH(A11,Risultati!C9:M9,0)),0))</f>
        <v/>
      </c>
      <c r="V11">
        <f>IF(COUNTIF(Risultati!C10:M10,A11)=0,0,INDEX({30,23,20,17,15,13,11,9,7,6,5},MATCH(A11,Risultati!C10:M10,0))+5+IF(Risultati!N10=A11,INDEX({30,23,20,17,15,13,11,9,7,6,5},MATCH(A11,Risultati!C10:M10,0)),0))</f>
        <v/>
      </c>
      <c r="W11">
        <f>IF(COUNTIF(Risultati!C11:M11,A11)=0,0,INDEX({30,23,20,17,15,13,11,9,7,6,5},MATCH(A11,Risultati!C11:M11,0))+5+IF(Risultati!N11=A11,INDEX({30,23,20,17,15,13,11,9,7,6,5},MATCH(A11,Risultati!C11:M11,0)),0))</f>
        <v/>
      </c>
      <c r="X11">
        <f>IF(COUNTIF(Risultati!C12:M12,A11)=0,0,INDEX({30,23,20,17,15,13,11,9,7,6,5},MATCH(A11,Risultati!C12:M12,0))+5+IF(Risultati!N12=A11,INDEX({30,23,20,17,15,13,11,9,7,6,5},MATCH(A11,Risultati!C12:M12,0)),0))</f>
        <v/>
      </c>
      <c r="Y11">
        <f>IF(COUNTIF(Risultati!C13:M13,A11)=0,0,INDEX({30,23,20,17,15,13,11,9,7,6,5},MATCH(A11,Risultati!C13:M13,0))+5+IF(Risultati!N13=A11,INDEX({30,23,20,17,15,13,11,9,7,6,5},MATCH(A11,Risultati!C13:M13,0)),0))</f>
        <v/>
      </c>
    </row>
    <row r="12">
      <c r="A12" t="inlineStr">
        <is>
          <t>Torre</t>
        </is>
      </c>
      <c r="G12">
        <f>SMALL(N12:Y12,1)</f>
        <v/>
      </c>
      <c r="H12">
        <f>SMALL(N12:Y12,2)</f>
        <v/>
      </c>
      <c r="N12">
        <f>IF(COUNTIF(Risultati!C2:M2,A12)=0,0,INDEX({30,23,20,17,15,13,11,9,7,6,5},MATCH(A12,Risultati!C2:M2,0))+5+IF(Risultati!N2=A12,INDEX({30,23,20,17,15,13,11,9,7,6,5},MATCH(A12,Risultati!C2:M2,0)),0))</f>
        <v/>
      </c>
      <c r="O12">
        <f>IF(COUNTIF(Risultati!C3:M3,A12)=0,0,INDEX({30,23,20,17,15,13,11,9,7,6,5},MATCH(A12,Risultati!C3:M3,0))+5+IF(Risultati!N3=A12,INDEX({30,23,20,17,15,13,11,9,7,6,5},MATCH(A12,Risultati!C3:M3,0)),0))</f>
        <v/>
      </c>
      <c r="P12">
        <f>IF(COUNTIF(Risultati!C4:M4,A12)=0,0,INDEX({30,23,20,17,15,13,11,9,7,6,5},MATCH(A12,Risultati!C4:M4,0))+5+IF(Risultati!N4=A12,INDEX({30,23,20,17,15,13,11,9,7,6,5},MATCH(A12,Risultati!C4:M4,0)),0))</f>
        <v/>
      </c>
      <c r="Q12">
        <f>IF(COUNTIF(Risultati!C5:M5,A12)=0,0,INDEX({30,23,20,17,15,13,11,9,7,6,5},MATCH(A12,Risultati!C5:M5,0))+5+IF(Risultati!N5=A12,INDEX({30,23,20,17,15,13,11,9,7,6,5},MATCH(A12,Risultati!C5:M5,0)),0))</f>
        <v/>
      </c>
      <c r="R12">
        <f>IF(COUNTIF(Risultati!C6:M6,A12)=0,0,INDEX({30,23,20,17,15,13,11,9,7,6,5},MATCH(A12,Risultati!C6:M6,0))+5+IF(Risultati!N6=A12,INDEX({30,23,20,17,15,13,11,9,7,6,5},MATCH(A12,Risultati!C6:M6,0)),0))</f>
        <v/>
      </c>
      <c r="S12">
        <f>IF(COUNTIF(Risultati!C7:M7,A12)=0,0,INDEX({30,23,20,17,15,13,11,9,7,6,5},MATCH(A12,Risultati!C7:M7,0))+5+IF(Risultati!N7=A12,INDEX({30,23,20,17,15,13,11,9,7,6,5},MATCH(A12,Risultati!C7:M7,0)),0))</f>
        <v/>
      </c>
      <c r="T12">
        <f>IF(COUNTIF(Risultati!C8:M8,A12)=0,0,INDEX({30,23,20,17,15,13,11,9,7,6,5},MATCH(A12,Risultati!C8:M8,0))+5+IF(Risultati!N8=A12,INDEX({30,23,20,17,15,13,11,9,7,6,5},MATCH(A12,Risultati!C8:M8,0)),0))</f>
        <v/>
      </c>
      <c r="U12">
        <f>IF(COUNTIF(Risultati!C9:M9,A12)=0,0,INDEX({30,23,20,17,15,13,11,9,7,6,5},MATCH(A12,Risultati!C9:M9,0))+5+IF(Risultati!N9=A12,INDEX({30,23,20,17,15,13,11,9,7,6,5},MATCH(A12,Risultati!C9:M9,0)),0))</f>
        <v/>
      </c>
      <c r="V12">
        <f>IF(COUNTIF(Risultati!C10:M10,A12)=0,0,INDEX({30,23,20,17,15,13,11,9,7,6,5},MATCH(A12,Risultati!C10:M10,0))+5+IF(Risultati!N10=A12,INDEX({30,23,20,17,15,13,11,9,7,6,5},MATCH(A12,Risultati!C10:M10,0)),0))</f>
        <v/>
      </c>
      <c r="W12">
        <f>IF(COUNTIF(Risultati!C11:M11,A12)=0,0,INDEX({30,23,20,17,15,13,11,9,7,6,5},MATCH(A12,Risultati!C11:M11,0))+5+IF(Risultati!N11=A12,INDEX({30,23,20,17,15,13,11,9,7,6,5},MATCH(A12,Risultati!C11:M11,0)),0))</f>
        <v/>
      </c>
      <c r="X12">
        <f>IF(COUNTIF(Risultati!C12:M12,A12)=0,0,INDEX({30,23,20,17,15,13,11,9,7,6,5},MATCH(A12,Risultati!C12:M12,0))+5+IF(Risultati!N12=A12,INDEX({30,23,20,17,15,13,11,9,7,6,5},MATCH(A12,Risultati!C12:M12,0)),0))</f>
        <v/>
      </c>
      <c r="Y12">
        <f>IF(COUNTIF(Risultati!C13:M13,A12)=0,0,INDEX({30,23,20,17,15,13,11,9,7,6,5},MATCH(A12,Risultati!C13:M13,0))+5+IF(Risultati!N13=A12,INDEX({30,23,20,17,15,13,11,9,7,6,5},MATCH(A12,Risultati!C13:M13,0)),0))</f>
        <v/>
      </c>
    </row>
    <row r="13">
      <c r="A13" t="inlineStr">
        <is>
          <t>Ube</t>
        </is>
      </c>
      <c r="G13">
        <f>SMALL(N13:Y13,1)</f>
        <v/>
      </c>
      <c r="H13">
        <f>SMALL(N13:Y13,2)</f>
        <v/>
      </c>
      <c r="N13">
        <f>IF(COUNTIF(Risultati!C2:M2,A13)=0,0,INDEX({30,23,20,17,15,13,11,9,7,6,5},MATCH(A13,Risultati!C2:M2,0))+5+IF(Risultati!N2=A13,INDEX({30,23,20,17,15,13,11,9,7,6,5},MATCH(A13,Risultati!C2:M2,0)),0))</f>
        <v/>
      </c>
      <c r="O13">
        <f>IF(COUNTIF(Risultati!C3:M3,A13)=0,0,INDEX({30,23,20,17,15,13,11,9,7,6,5},MATCH(A13,Risultati!C3:M3,0))+5+IF(Risultati!N3=A13,INDEX({30,23,20,17,15,13,11,9,7,6,5},MATCH(A13,Risultati!C3:M3,0)),0))</f>
        <v/>
      </c>
      <c r="P13">
        <f>IF(COUNTIF(Risultati!C4:M4,A13)=0,0,INDEX({30,23,20,17,15,13,11,9,7,6,5},MATCH(A13,Risultati!C4:M4,0))+5+IF(Risultati!N4=A13,INDEX({30,23,20,17,15,13,11,9,7,6,5},MATCH(A13,Risultati!C4:M4,0)),0))</f>
        <v/>
      </c>
      <c r="Q13">
        <f>IF(COUNTIF(Risultati!C5:M5,A13)=0,0,INDEX({30,23,20,17,15,13,11,9,7,6,5},MATCH(A13,Risultati!C5:M5,0))+5+IF(Risultati!N5=A13,INDEX({30,23,20,17,15,13,11,9,7,6,5},MATCH(A13,Risultati!C5:M5,0)),0))</f>
        <v/>
      </c>
      <c r="R13">
        <f>IF(COUNTIF(Risultati!C6:M6,A13)=0,0,INDEX({30,23,20,17,15,13,11,9,7,6,5},MATCH(A13,Risultati!C6:M6,0))+5+IF(Risultati!N6=A13,INDEX({30,23,20,17,15,13,11,9,7,6,5},MATCH(A13,Risultati!C6:M6,0)),0))</f>
        <v/>
      </c>
      <c r="S13">
        <f>IF(COUNTIF(Risultati!C7:M7,A13)=0,0,INDEX({30,23,20,17,15,13,11,9,7,6,5},MATCH(A13,Risultati!C7:M7,0))+5+IF(Risultati!N7=A13,INDEX({30,23,20,17,15,13,11,9,7,6,5},MATCH(A13,Risultati!C7:M7,0)),0))</f>
        <v/>
      </c>
      <c r="T13">
        <f>IF(COUNTIF(Risultati!C8:M8,A13)=0,0,INDEX({30,23,20,17,15,13,11,9,7,6,5},MATCH(A13,Risultati!C8:M8,0))+5+IF(Risultati!N8=A13,INDEX({30,23,20,17,15,13,11,9,7,6,5},MATCH(A13,Risultati!C8:M8,0)),0))</f>
        <v/>
      </c>
      <c r="U13">
        <f>IF(COUNTIF(Risultati!C9:M9,A13)=0,0,INDEX({30,23,20,17,15,13,11,9,7,6,5},MATCH(A13,Risultati!C9:M9,0))+5+IF(Risultati!N9=A13,INDEX({30,23,20,17,15,13,11,9,7,6,5},MATCH(A13,Risultati!C9:M9,0)),0))</f>
        <v/>
      </c>
      <c r="V13">
        <f>IF(COUNTIF(Risultati!C10:M10,A13)=0,0,INDEX({30,23,20,17,15,13,11,9,7,6,5},MATCH(A13,Risultati!C10:M10,0))+5+IF(Risultati!N10=A13,INDEX({30,23,20,17,15,13,11,9,7,6,5},MATCH(A13,Risultati!C10:M10,0)),0))</f>
        <v/>
      </c>
      <c r="W13">
        <f>IF(COUNTIF(Risultati!C11:M11,A13)=0,0,INDEX({30,23,20,17,15,13,11,9,7,6,5},MATCH(A13,Risultati!C11:M11,0))+5+IF(Risultati!N11=A13,INDEX({30,23,20,17,15,13,11,9,7,6,5},MATCH(A13,Risultati!C11:M11,0)),0))</f>
        <v/>
      </c>
      <c r="X13">
        <f>IF(COUNTIF(Risultati!C12:M12,A13)=0,0,INDEX({30,23,20,17,15,13,11,9,7,6,5},MATCH(A13,Risultati!C12:M12,0))+5+IF(Risultati!N12=A13,INDEX({30,23,20,17,15,13,11,9,7,6,5},MATCH(A13,Risultati!C12:M12,0)),0))</f>
        <v/>
      </c>
      <c r="Y13">
        <f>IF(COUNTIF(Risultati!C13:M13,A13)=0,0,INDEX({30,23,20,17,15,13,11,9,7,6,5},MATCH(A13,Risultati!C13:M13,0))+5+IF(Risultati!N13=A13,INDEX({30,23,20,17,15,13,11,9,7,6,5},MATCH(A13,Risultati!C13:M13,0)),0))</f>
        <v/>
      </c>
    </row>
    <row r="14">
      <c r="A14" t="inlineStr">
        <is>
          <t>Uccio</t>
        </is>
      </c>
      <c r="G14">
        <f>SMALL(N14:Y14,1)</f>
        <v/>
      </c>
      <c r="H14">
        <f>SMALL(N14:Y14,2)</f>
        <v/>
      </c>
      <c r="N14">
        <f>IF(COUNTIF(Risultati!C2:M2,A14)=0,0,INDEX({30,23,20,17,15,13,11,9,7,6,5},MATCH(A14,Risultati!C2:M2,0))+5+IF(Risultati!N2=A14,INDEX({30,23,20,17,15,13,11,9,7,6,5},MATCH(A14,Risultati!C2:M2,0)),0))</f>
        <v/>
      </c>
      <c r="O14">
        <f>IF(COUNTIF(Risultati!C3:M3,A14)=0,0,INDEX({30,23,20,17,15,13,11,9,7,6,5},MATCH(A14,Risultati!C3:M3,0))+5+IF(Risultati!N3=A14,INDEX({30,23,20,17,15,13,11,9,7,6,5},MATCH(A14,Risultati!C3:M3,0)),0))</f>
        <v/>
      </c>
      <c r="P14">
        <f>IF(COUNTIF(Risultati!C4:M4,A14)=0,0,INDEX({30,23,20,17,15,13,11,9,7,6,5},MATCH(A14,Risultati!C4:M4,0))+5+IF(Risultati!N4=A14,INDEX({30,23,20,17,15,13,11,9,7,6,5},MATCH(A14,Risultati!C4:M4,0)),0))</f>
        <v/>
      </c>
      <c r="Q14">
        <f>IF(COUNTIF(Risultati!C5:M5,A14)=0,0,INDEX({30,23,20,17,15,13,11,9,7,6,5},MATCH(A14,Risultati!C5:M5,0))+5+IF(Risultati!N5=A14,INDEX({30,23,20,17,15,13,11,9,7,6,5},MATCH(A14,Risultati!C5:M5,0)),0))</f>
        <v/>
      </c>
      <c r="R14">
        <f>IF(COUNTIF(Risultati!C6:M6,A14)=0,0,INDEX({30,23,20,17,15,13,11,9,7,6,5},MATCH(A14,Risultati!C6:M6,0))+5+IF(Risultati!N6=A14,INDEX({30,23,20,17,15,13,11,9,7,6,5},MATCH(A14,Risultati!C6:M6,0)),0))</f>
        <v/>
      </c>
      <c r="S14">
        <f>IF(COUNTIF(Risultati!C7:M7,A14)=0,0,INDEX({30,23,20,17,15,13,11,9,7,6,5},MATCH(A14,Risultati!C7:M7,0))+5+IF(Risultati!N7=A14,INDEX({30,23,20,17,15,13,11,9,7,6,5},MATCH(A14,Risultati!C7:M7,0)),0))</f>
        <v/>
      </c>
      <c r="T14">
        <f>IF(COUNTIF(Risultati!C8:M8,A14)=0,0,INDEX({30,23,20,17,15,13,11,9,7,6,5},MATCH(A14,Risultati!C8:M8,0))+5+IF(Risultati!N8=A14,INDEX({30,23,20,17,15,13,11,9,7,6,5},MATCH(A14,Risultati!C8:M8,0)),0))</f>
        <v/>
      </c>
      <c r="U14">
        <f>IF(COUNTIF(Risultati!C9:M9,A14)=0,0,INDEX({30,23,20,17,15,13,11,9,7,6,5},MATCH(A14,Risultati!C9:M9,0))+5+IF(Risultati!N9=A14,INDEX({30,23,20,17,15,13,11,9,7,6,5},MATCH(A14,Risultati!C9:M9,0)),0))</f>
        <v/>
      </c>
      <c r="V14">
        <f>IF(COUNTIF(Risultati!C10:M10,A14)=0,0,INDEX({30,23,20,17,15,13,11,9,7,6,5},MATCH(A14,Risultati!C10:M10,0))+5+IF(Risultati!N10=A14,INDEX({30,23,20,17,15,13,11,9,7,6,5},MATCH(A14,Risultati!C10:M10,0)),0))</f>
        <v/>
      </c>
      <c r="W14">
        <f>IF(COUNTIF(Risultati!C11:M11,A14)=0,0,INDEX({30,23,20,17,15,13,11,9,7,6,5},MATCH(A14,Risultati!C11:M11,0))+5+IF(Risultati!N11=A14,INDEX({30,23,20,17,15,13,11,9,7,6,5},MATCH(A14,Risultati!C11:M11,0)),0))</f>
        <v/>
      </c>
      <c r="X14">
        <f>IF(COUNTIF(Risultati!C12:M12,A14)=0,0,INDEX({30,23,20,17,15,13,11,9,7,6,5},MATCH(A14,Risultati!C12:M12,0))+5+IF(Risultati!N12=A14,INDEX({30,23,20,17,15,13,11,9,7,6,5},MATCH(A14,Risultati!C12:M12,0)),0))</f>
        <v/>
      </c>
      <c r="Y14">
        <f>IF(COUNTIF(Risultati!C13:M13,A14)=0,0,INDEX({30,23,20,17,15,13,11,9,7,6,5},MATCH(A14,Risultati!C13:M13,0))+5+IF(Risultati!N13=A14,INDEX({30,23,20,17,15,13,11,9,7,6,5},MATCH(A14,Risultati!C13:M13,0)),0))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F1: 30,23,20,17,15,13,11,9,7,6,5 + 5 punti presenza</t>
        </is>
      </c>
    </row>
    <row r="2">
      <c r="A2" t="inlineStr">
        <is>
          <t>1 Jolly: raddoppia i punti F1 della giornata</t>
        </is>
      </c>
    </row>
    <row r="3">
      <c r="A3" t="inlineStr">
        <is>
          <t>2 peggiori risultati scartati automaticamente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Giovanni Pisati</dc:creator>
  <dcterms:created xsi:type="dcterms:W3CDTF">2026-10-29T17:02:30.4525445Z</dcterms:created>
  <dcterms:modified xsi:type="dcterms:W3CDTF">2026-10-29T17:02:30.4525445Z</dcterms:modified>
  <lastModifiedBy>Giovanni Pisati</lastModifiedBy>
</coreProperties>
</file>